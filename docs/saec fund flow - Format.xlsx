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filterPrivacy="1"/>
  <xr:revisionPtr revIDLastSave="0" documentId="13_ncr:1_{2316DE6A-CE6F-4ABF-A62D-D8261773E16B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2" sheetId="4" r:id="rId1"/>
  </sheets>
  <definedNames>
    <definedName name="_xlnm._FilterDatabase" localSheetId="0" hidden="1">Sheet2!$A$2:$AJ$9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U11" i="4" l="1"/>
  <c r="N9" i="4"/>
  <c r="G9" i="4"/>
  <c r="F9" i="4"/>
  <c r="N8" i="4"/>
  <c r="G8" i="4"/>
  <c r="F8" i="4"/>
  <c r="G6" i="4"/>
  <c r="F6" i="4"/>
  <c r="R6" i="4"/>
  <c r="Q6" i="4"/>
  <c r="N6" i="4"/>
  <c r="T9" i="4"/>
  <c r="AU14" i="4"/>
  <c r="W9" i="4" l="1"/>
  <c r="V9" i="4"/>
  <c r="AP6" i="4"/>
  <c r="AO6" i="4"/>
  <c r="AN6" i="4"/>
  <c r="AM6" i="4"/>
  <c r="AL6" i="4"/>
  <c r="AK6" i="4"/>
  <c r="AJ6" i="4"/>
  <c r="AI6" i="4"/>
  <c r="AH6" i="4"/>
  <c r="AG6" i="4"/>
  <c r="AF6" i="4"/>
  <c r="AE6" i="4"/>
  <c r="AD6" i="4"/>
  <c r="AC6" i="4"/>
  <c r="AB6" i="4"/>
  <c r="AA6" i="4"/>
  <c r="Z6" i="4"/>
  <c r="H9" i="4"/>
  <c r="H8" i="4"/>
  <c r="H6" i="4"/>
  <c r="U6" i="4"/>
  <c r="Y6" i="4" s="1"/>
  <c r="V12" i="4" l="1"/>
  <c r="AU9" i="4"/>
  <c r="V16" i="4"/>
  <c r="V18" i="4"/>
  <c r="AJ12" i="4"/>
  <c r="AJ16" i="4" s="1"/>
  <c r="X12" i="4"/>
  <c r="Y12" i="4"/>
  <c r="Y16" i="4" s="1"/>
  <c r="AF12" i="4"/>
  <c r="AE12" i="4"/>
  <c r="W12" i="4"/>
  <c r="W16" i="4" s="1"/>
  <c r="Z12" i="4" l="1"/>
  <c r="Z16" i="4" s="1"/>
  <c r="AI12" i="4"/>
  <c r="AI16" i="4" s="1"/>
  <c r="AG12" i="4"/>
  <c r="AH12" i="4"/>
  <c r="AH16" i="4" s="1"/>
  <c r="X16" i="4"/>
  <c r="W18" i="4"/>
  <c r="X18" i="4" s="1"/>
  <c r="Y18" i="4" s="1"/>
  <c r="Z18" i="4" s="1"/>
  <c r="AU6" i="4"/>
  <c r="Q8" i="4"/>
  <c r="R8" i="4" s="1"/>
  <c r="U9" i="4"/>
  <c r="U8" i="4" l="1"/>
  <c r="AA8" i="4" s="1"/>
  <c r="AD8" i="4"/>
  <c r="AD12" i="4" s="1"/>
  <c r="AC8" i="4"/>
  <c r="AC12" i="4" s="1"/>
  <c r="AB8" i="4"/>
  <c r="AB12" i="4" s="1"/>
  <c r="AD16" i="4"/>
  <c r="AF16" i="4"/>
  <c r="AE16" i="4"/>
  <c r="AB16" i="4"/>
  <c r="AG16" i="4"/>
  <c r="AC16" i="4" l="1"/>
  <c r="AA12" i="4"/>
  <c r="AU8" i="4"/>
  <c r="AA16" i="4" l="1"/>
  <c r="AA18" i="4"/>
  <c r="AB18" i="4" s="1"/>
  <c r="AC18" i="4" s="1"/>
  <c r="AD18" i="4" s="1"/>
  <c r="AE18" i="4" s="1"/>
  <c r="AF18" i="4" s="1"/>
  <c r="AG18" i="4" s="1"/>
  <c r="AH18" i="4" s="1"/>
  <c r="AI18" i="4" s="1"/>
  <c r="AJ18" i="4" s="1"/>
  <c r="AU12" i="4"/>
  <c r="AU16" i="4" s="1"/>
</calcChain>
</file>

<file path=xl/sharedStrings.xml><?xml version="1.0" encoding="utf-8"?>
<sst xmlns="http://schemas.openxmlformats.org/spreadsheetml/2006/main" count="32" uniqueCount="29">
  <si>
    <t>completed work amt</t>
  </si>
  <si>
    <t>remaining work amt</t>
  </si>
  <si>
    <t xml:space="preserve">Total Fee </t>
  </si>
  <si>
    <t>fee recvd</t>
  </si>
  <si>
    <t>remaing fee</t>
  </si>
  <si>
    <t>Total</t>
  </si>
  <si>
    <t>Total Income per Month</t>
  </si>
  <si>
    <t>Staff Exp.</t>
  </si>
  <si>
    <t>Rajkot</t>
  </si>
  <si>
    <t>Gujarat Urban Development Mission(RR)</t>
  </si>
  <si>
    <t>Gujarat State Police Housing Corporation(RR)</t>
  </si>
  <si>
    <t>Design - Kutiyana UGD Project</t>
  </si>
  <si>
    <t>Design - Kalwad Ws Project</t>
  </si>
  <si>
    <t>Client Name</t>
  </si>
  <si>
    <t>Region Name</t>
  </si>
  <si>
    <t>Project Name</t>
  </si>
  <si>
    <t>Date of Work Order</t>
  </si>
  <si>
    <t>Stipulated Date of Completion</t>
  </si>
  <si>
    <t>Team Leader/Project Manager</t>
  </si>
  <si>
    <t>Residential Engineer</t>
  </si>
  <si>
    <t>Site Engineer</t>
  </si>
  <si>
    <t>Misc Exp</t>
  </si>
  <si>
    <t>Design Engineer</t>
  </si>
  <si>
    <t>Total Project Cost</t>
  </si>
  <si>
    <t>Proposed / Due Bill Amount</t>
  </si>
  <si>
    <t>Time Limit
(in Month)</t>
  </si>
  <si>
    <t>Target Date of Completion</t>
  </si>
  <si>
    <t>Target Time Limit
(In Month)</t>
  </si>
  <si>
    <t>Design &amp; PMC - Surat Division (Tribal School Development)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</si>
</sst>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70C0"/>
      <name val="Calibri"/>
      <family val="2"/>
      <scheme val="minor"/>
    </font>
    <font>
      <sz val="11"/>
      <name val="Calibri"/>
      <family val="2"/>
      <scheme val="minor"/>
    </font>
    <font>
      <sz val="8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2" tint="-9.9978637043366805E-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3">
    <xf numFmtId="0" fontId="0" fillId="0" borderId="0" xfId="0"/>
    <xf numFmtId="0" fontId="0" fillId="0" borderId="0" xfId="0" applyAlignment="1">
      <alignment vertical="center"/>
    </xf>
    <xf numFmtId="2" fontId="0" fillId="0" borderId="0" xfId="0" applyNumberFormat="1" applyAlignment="1">
      <alignment horizontal="center" vertical="center"/>
    </xf>
    <xf numFmtId="2" fontId="0" fillId="0" borderId="0" xfId="0" applyNumberFormat="1" applyAlignment="1">
      <alignment vertical="center"/>
    </xf>
    <xf numFmtId="2" fontId="0" fillId="2" borderId="0" xfId="0" applyNumberFormat="1" applyFill="1" applyAlignment="1">
      <alignment vertical="center"/>
    </xf>
    <xf numFmtId="0" fontId="0" fillId="2" borderId="0" xfId="0" applyFill="1" applyAlignment="1">
      <alignment vertical="center"/>
    </xf>
    <xf numFmtId="2" fontId="2" fillId="0" borderId="0" xfId="0" applyNumberFormat="1" applyFont="1" applyAlignment="1">
      <alignment horizontal="center" vertical="center"/>
    </xf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0" fillId="3" borderId="0" xfId="0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4" borderId="0" xfId="0" applyFill="1" applyAlignment="1">
      <alignment horizontal="center" vertical="center"/>
    </xf>
    <xf numFmtId="0" fontId="0" fillId="5" borderId="0" xfId="0" applyFill="1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vertical="center" wrapText="1"/>
    </xf>
    <xf numFmtId="0" fontId="1" fillId="0" borderId="0" xfId="0" applyFont="1" applyAlignment="1">
      <alignment horizontal="justify" vertical="center" wrapText="1"/>
    </xf>
    <xf numFmtId="0" fontId="0" fillId="3" borderId="0" xfId="0" applyFill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0" fillId="4" borderId="0" xfId="0" applyFill="1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2" fontId="0" fillId="0" borderId="0" xfId="0" applyNumberFormat="1" applyFill="1" applyAlignment="1">
      <alignment vertical="center"/>
    </xf>
    <xf numFmtId="2" fontId="0" fillId="0" borderId="0" xfId="0" applyNumberFormat="1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U18"/>
  <sheetViews>
    <sheetView tabSelected="1" topLeftCell="J1" zoomScaleNormal="100" workbookViewId="0">
      <pane ySplit="4" topLeftCell="A5" activePane="bottomLeft" state="frozen"/>
      <selection pane="bottomLeft" activeCell="U12" sqref="U12"/>
    </sheetView>
  </sheetViews>
  <sheetFormatPr defaultColWidth="8.88671875" defaultRowHeight="14.4" x14ac:dyDescent="0.3"/>
  <cols>
    <col min="1" max="1" width="14.88671875" style="1" bestFit="1" customWidth="1"/>
    <col min="2" max="2" width="46.44140625" style="1" bestFit="1" customWidth="1"/>
    <col min="3" max="3" width="63.88671875" style="1" bestFit="1" customWidth="1"/>
    <col min="4" max="4" width="18.5546875" style="10" bestFit="1" customWidth="1"/>
    <col min="5" max="5" width="10.21875" style="10" bestFit="1" customWidth="1"/>
    <col min="6" max="6" width="27.88671875" style="10" bestFit="1" customWidth="1"/>
    <col min="7" max="7" width="27.88671875" style="10" customWidth="1"/>
    <col min="8" max="8" width="15.5546875" style="10" bestFit="1" customWidth="1"/>
    <col min="9" max="9" width="24.5546875" style="10" customWidth="1"/>
    <col min="10" max="10" width="18.88671875" style="10" bestFit="1" customWidth="1"/>
    <col min="11" max="11" width="15" style="10" bestFit="1" customWidth="1"/>
    <col min="12" max="12" width="12.44140625" style="10" bestFit="1" customWidth="1"/>
    <col min="13" max="13" width="8.33203125" style="10" bestFit="1" customWidth="1"/>
    <col min="14" max="14" width="12.88671875" style="1" bestFit="1" customWidth="1"/>
    <col min="15" max="15" width="11.5546875" style="1" bestFit="1" customWidth="1"/>
    <col min="16" max="16" width="13.5546875" style="1" bestFit="1" customWidth="1"/>
    <col min="17" max="17" width="12.88671875" style="1" bestFit="1" customWidth="1"/>
    <col min="18" max="18" width="8.109375" style="1" bestFit="1" customWidth="1"/>
    <col min="19" max="19" width="11.44140625" style="1" customWidth="1"/>
    <col min="20" max="20" width="11" style="1" customWidth="1"/>
    <col min="21" max="21" width="11.5546875" style="1" bestFit="1" customWidth="1"/>
    <col min="22" max="33" width="10" style="1" bestFit="1" customWidth="1"/>
    <col min="34" max="45" width="10" style="1" customWidth="1"/>
    <col min="46" max="46" width="3.88671875" style="1" bestFit="1" customWidth="1"/>
    <col min="47" max="47" width="10" style="1" bestFit="1" customWidth="1"/>
    <col min="48" max="48" width="5" style="1" bestFit="1" customWidth="1"/>
    <col min="49" max="16384" width="8.88671875" style="1"/>
  </cols>
  <sheetData>
    <row r="1" spans="1:47" x14ac:dyDescent="0.3">
      <c r="V1" s="17">
        <v>2026</v>
      </c>
      <c r="W1" s="17"/>
      <c r="X1" s="17"/>
      <c r="Y1" s="17"/>
      <c r="Z1" s="17"/>
      <c r="AA1" s="17"/>
      <c r="AB1" s="17"/>
      <c r="AC1" s="17"/>
      <c r="AD1" s="17"/>
      <c r="AE1" s="19">
        <v>2027</v>
      </c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8">
        <v>2028</v>
      </c>
      <c r="AR1" s="18"/>
      <c r="AS1" s="18"/>
    </row>
    <row r="2" spans="1:47" x14ac:dyDescent="0.3">
      <c r="V2" s="9">
        <v>4</v>
      </c>
      <c r="W2" s="9">
        <v>5</v>
      </c>
      <c r="X2" s="9">
        <v>6</v>
      </c>
      <c r="Y2" s="9">
        <v>7</v>
      </c>
      <c r="Z2" s="9">
        <v>8</v>
      </c>
      <c r="AA2" s="9">
        <v>9</v>
      </c>
      <c r="AB2" s="9">
        <v>10</v>
      </c>
      <c r="AC2" s="9">
        <v>11</v>
      </c>
      <c r="AD2" s="9">
        <v>12</v>
      </c>
      <c r="AE2" s="11">
        <v>1</v>
      </c>
      <c r="AF2" s="11">
        <v>2</v>
      </c>
      <c r="AG2" s="11">
        <v>3</v>
      </c>
      <c r="AH2" s="11">
        <v>4</v>
      </c>
      <c r="AI2" s="11">
        <v>5</v>
      </c>
      <c r="AJ2" s="11">
        <v>6</v>
      </c>
      <c r="AK2" s="11">
        <v>7</v>
      </c>
      <c r="AL2" s="11">
        <v>8</v>
      </c>
      <c r="AM2" s="11">
        <v>9</v>
      </c>
      <c r="AN2" s="11">
        <v>10</v>
      </c>
      <c r="AO2" s="11">
        <v>11</v>
      </c>
      <c r="AP2" s="11">
        <v>12</v>
      </c>
      <c r="AQ2" s="12">
        <v>1</v>
      </c>
      <c r="AR2" s="12">
        <v>2</v>
      </c>
      <c r="AS2" s="12">
        <v>3</v>
      </c>
      <c r="AU2" s="10" t="s">
        <v>5</v>
      </c>
    </row>
    <row r="4" spans="1:47" s="15" customFormat="1" ht="43.2" x14ac:dyDescent="0.3">
      <c r="A4" s="15" t="s">
        <v>14</v>
      </c>
      <c r="B4" s="15" t="s">
        <v>13</v>
      </c>
      <c r="C4" s="15" t="s">
        <v>15</v>
      </c>
      <c r="D4" s="14" t="s">
        <v>16</v>
      </c>
      <c r="E4" s="14" t="s">
        <v>25</v>
      </c>
      <c r="F4" s="14" t="s">
        <v>17</v>
      </c>
      <c r="G4" s="14" t="s">
        <v>26</v>
      </c>
      <c r="H4" s="14" t="s">
        <v>27</v>
      </c>
      <c r="I4" s="14" t="s">
        <v>18</v>
      </c>
      <c r="J4" s="14" t="s">
        <v>19</v>
      </c>
      <c r="K4" s="14" t="s">
        <v>22</v>
      </c>
      <c r="L4" s="14" t="s">
        <v>20</v>
      </c>
      <c r="M4" s="14" t="s">
        <v>21</v>
      </c>
      <c r="N4" s="14" t="s">
        <v>7</v>
      </c>
      <c r="O4" s="16" t="s">
        <v>23</v>
      </c>
      <c r="P4" s="16" t="s">
        <v>0</v>
      </c>
      <c r="Q4" s="16" t="s">
        <v>1</v>
      </c>
      <c r="R4" s="16" t="s">
        <v>2</v>
      </c>
      <c r="S4" s="16" t="s">
        <v>24</v>
      </c>
      <c r="T4" s="16" t="s">
        <v>3</v>
      </c>
      <c r="U4" s="16" t="s">
        <v>4</v>
      </c>
    </row>
    <row r="5" spans="1:47" x14ac:dyDescent="0.3">
      <c r="U5" s="8"/>
    </row>
    <row r="6" spans="1:47" x14ac:dyDescent="0.3">
      <c r="A6" s="1" t="s">
        <v>8</v>
      </c>
      <c r="B6" s="1" t="s">
        <v>10</v>
      </c>
      <c r="C6" s="1" t="s">
        <v>28</v>
      </c>
      <c r="D6" s="13">
        <v>46113</v>
      </c>
      <c r="E6" s="10">
        <v>12</v>
      </c>
      <c r="F6" s="13">
        <f>D6+(E6*30.416)</f>
        <v>46477.991999999998</v>
      </c>
      <c r="G6" s="13">
        <f>D6+((E6*1.5)*30.416)</f>
        <v>46660.487999999998</v>
      </c>
      <c r="H6" s="20">
        <f>(G6-D6)/30.4375</f>
        <v>17.987285420944477</v>
      </c>
      <c r="I6" s="22">
        <v>0.5</v>
      </c>
      <c r="J6" s="22">
        <v>0.4</v>
      </c>
      <c r="K6" s="22">
        <v>0.3</v>
      </c>
      <c r="L6" s="22">
        <v>0.35</v>
      </c>
      <c r="M6" s="22">
        <v>0.05</v>
      </c>
      <c r="N6" s="6">
        <f>SUM(I6:M6)</f>
        <v>1.5999999999999999</v>
      </c>
      <c r="O6" s="3">
        <v>22000</v>
      </c>
      <c r="P6" s="3">
        <v>15000</v>
      </c>
      <c r="Q6" s="3">
        <f>O6-P6</f>
        <v>7000</v>
      </c>
      <c r="R6" s="3">
        <f>O6*0.22727%</f>
        <v>49.999399999999994</v>
      </c>
      <c r="S6" s="21">
        <v>5.56</v>
      </c>
      <c r="T6" s="21">
        <v>0</v>
      </c>
      <c r="U6" s="21">
        <f>R6-T6</f>
        <v>49.999399999999994</v>
      </c>
      <c r="V6" s="3"/>
      <c r="X6" s="3"/>
      <c r="Y6" s="3">
        <f>$U6/18</f>
        <v>2.7777444444444441</v>
      </c>
      <c r="Z6" s="3">
        <f t="shared" ref="Z6:AP6" si="0">$R6/18</f>
        <v>2.7777444444444441</v>
      </c>
      <c r="AA6" s="3">
        <f t="shared" si="0"/>
        <v>2.7777444444444441</v>
      </c>
      <c r="AB6" s="3">
        <f t="shared" si="0"/>
        <v>2.7777444444444441</v>
      </c>
      <c r="AC6" s="3">
        <f t="shared" si="0"/>
        <v>2.7777444444444441</v>
      </c>
      <c r="AD6" s="3">
        <f t="shared" si="0"/>
        <v>2.7777444444444441</v>
      </c>
      <c r="AE6" s="3">
        <f t="shared" si="0"/>
        <v>2.7777444444444441</v>
      </c>
      <c r="AF6" s="3">
        <f t="shared" si="0"/>
        <v>2.7777444444444441</v>
      </c>
      <c r="AG6" s="3">
        <f t="shared" si="0"/>
        <v>2.7777444444444441</v>
      </c>
      <c r="AH6" s="3">
        <f t="shared" si="0"/>
        <v>2.7777444444444441</v>
      </c>
      <c r="AI6" s="3">
        <f t="shared" si="0"/>
        <v>2.7777444444444441</v>
      </c>
      <c r="AJ6" s="3">
        <f t="shared" si="0"/>
        <v>2.7777444444444441</v>
      </c>
      <c r="AK6" s="3">
        <f t="shared" si="0"/>
        <v>2.7777444444444441</v>
      </c>
      <c r="AL6" s="3">
        <f t="shared" si="0"/>
        <v>2.7777444444444441</v>
      </c>
      <c r="AM6" s="3">
        <f t="shared" si="0"/>
        <v>2.7777444444444441</v>
      </c>
      <c r="AN6" s="3">
        <f t="shared" si="0"/>
        <v>2.7777444444444441</v>
      </c>
      <c r="AO6" s="3">
        <f t="shared" si="0"/>
        <v>2.7777444444444441</v>
      </c>
      <c r="AP6" s="3">
        <f t="shared" si="0"/>
        <v>2.7777444444444441</v>
      </c>
      <c r="AQ6" s="3"/>
      <c r="AR6" s="3"/>
      <c r="AS6" s="3"/>
      <c r="AT6" s="3"/>
      <c r="AU6" s="3">
        <f t="shared" ref="AU6" si="1">SUM(V6:AT6)</f>
        <v>49.999399999999994</v>
      </c>
    </row>
    <row r="7" spans="1:47" x14ac:dyDescent="0.3">
      <c r="N7" s="2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</row>
    <row r="8" spans="1:47" x14ac:dyDescent="0.3">
      <c r="A8" s="1" t="s">
        <v>8</v>
      </c>
      <c r="B8" s="1" t="s">
        <v>9</v>
      </c>
      <c r="C8" s="1" t="s">
        <v>11</v>
      </c>
      <c r="D8" s="13">
        <v>46174</v>
      </c>
      <c r="E8" s="10">
        <v>3</v>
      </c>
      <c r="F8" s="13">
        <f>D8+(E8*30.416)</f>
        <v>46265.248</v>
      </c>
      <c r="G8" s="13">
        <f>D8+((E8*1.5)*30.416)</f>
        <v>46310.872000000003</v>
      </c>
      <c r="H8" s="20">
        <f>(G8-D8)/30.4375</f>
        <v>4.4968213552362393</v>
      </c>
      <c r="I8" s="22">
        <v>0.5</v>
      </c>
      <c r="J8" s="22">
        <v>0</v>
      </c>
      <c r="K8" s="22">
        <v>0.3</v>
      </c>
      <c r="L8" s="22">
        <v>0</v>
      </c>
      <c r="M8" s="22">
        <v>0.1</v>
      </c>
      <c r="N8" s="6">
        <f>SUM(I8:M8)</f>
        <v>0.9</v>
      </c>
      <c r="O8" s="3">
        <v>842.54</v>
      </c>
      <c r="P8" s="3">
        <v>0</v>
      </c>
      <c r="Q8" s="3">
        <f>O8-P8</f>
        <v>842.54</v>
      </c>
      <c r="R8" s="3">
        <f>Q8*1.2%</f>
        <v>10.110479999999999</v>
      </c>
      <c r="S8" s="3">
        <v>0</v>
      </c>
      <c r="T8" s="3">
        <v>0</v>
      </c>
      <c r="U8" s="3">
        <f>R8-T8</f>
        <v>10.110479999999999</v>
      </c>
      <c r="V8" s="3"/>
      <c r="W8" s="3"/>
      <c r="X8" s="3"/>
      <c r="Y8" s="3"/>
      <c r="Z8" s="3"/>
      <c r="AA8" s="3">
        <f>$U8/4</f>
        <v>2.5276199999999998</v>
      </c>
      <c r="AB8" s="3">
        <f t="shared" ref="AB8:AD8" si="2">$R8/4</f>
        <v>2.5276199999999998</v>
      </c>
      <c r="AC8" s="3">
        <f t="shared" si="2"/>
        <v>2.5276199999999998</v>
      </c>
      <c r="AD8" s="3">
        <f t="shared" si="2"/>
        <v>2.5276199999999998</v>
      </c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>
        <f t="shared" ref="AU8:AU9" si="3">SUM(V8:AT8)</f>
        <v>10.110479999999999</v>
      </c>
    </row>
    <row r="9" spans="1:47" x14ac:dyDescent="0.3">
      <c r="A9" s="1" t="s">
        <v>8</v>
      </c>
      <c r="B9" s="1" t="s">
        <v>9</v>
      </c>
      <c r="C9" s="1" t="s">
        <v>12</v>
      </c>
      <c r="D9" s="13">
        <v>46054</v>
      </c>
      <c r="E9" s="10">
        <v>3</v>
      </c>
      <c r="F9" s="13">
        <f>D9+(E9*30.416)</f>
        <v>46145.248</v>
      </c>
      <c r="G9" s="13">
        <f>D9+((E9*1.5)*30.416)</f>
        <v>46190.872000000003</v>
      </c>
      <c r="H9" s="20">
        <f>(G9-D9)/30.4375</f>
        <v>4.4968213552362393</v>
      </c>
      <c r="I9" s="22">
        <v>0.5</v>
      </c>
      <c r="J9" s="22">
        <v>0</v>
      </c>
      <c r="K9" s="22">
        <v>0.3</v>
      </c>
      <c r="L9" s="22">
        <v>0</v>
      </c>
      <c r="M9" s="22">
        <v>0.1</v>
      </c>
      <c r="N9" s="6">
        <f>SUM(I9:M9)</f>
        <v>0.9</v>
      </c>
      <c r="O9" s="3">
        <v>715.11</v>
      </c>
      <c r="P9" s="3">
        <v>0</v>
      </c>
      <c r="Q9" s="3">
        <v>715.11</v>
      </c>
      <c r="R9" s="3">
        <v>8.58</v>
      </c>
      <c r="S9" s="3">
        <v>1.72</v>
      </c>
      <c r="T9" s="3">
        <f>4.29+2.57</f>
        <v>6.8599999999999994</v>
      </c>
      <c r="U9" s="3">
        <f>R9-T9</f>
        <v>1.7200000000000006</v>
      </c>
      <c r="V9" s="3">
        <f>$T9/2</f>
        <v>3.4299999999999997</v>
      </c>
      <c r="W9" s="3">
        <f>$T9/2</f>
        <v>3.4299999999999997</v>
      </c>
      <c r="X9" s="3">
        <v>1.72</v>
      </c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>
        <f t="shared" si="3"/>
        <v>8.58</v>
      </c>
    </row>
    <row r="10" spans="1:47" x14ac:dyDescent="0.3">
      <c r="B10" s="7"/>
      <c r="N10" s="2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</row>
    <row r="11" spans="1:47" x14ac:dyDescent="0.3">
      <c r="N11" s="2"/>
      <c r="R11" s="3"/>
      <c r="S11" s="3"/>
      <c r="T11" s="3"/>
      <c r="U11" s="3">
        <f>SUM(U6:U10)</f>
        <v>61.829879999999989</v>
      </c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</row>
    <row r="12" spans="1:47" x14ac:dyDescent="0.3">
      <c r="N12" s="2">
        <v>5</v>
      </c>
      <c r="R12" s="3"/>
      <c r="S12" s="3"/>
      <c r="T12" s="3" t="s">
        <v>6</v>
      </c>
      <c r="U12" s="3"/>
      <c r="V12" s="3">
        <f>SUM(V6:V11)</f>
        <v>3.4299999999999997</v>
      </c>
      <c r="W12" s="3">
        <f>SUM(W6:W11)</f>
        <v>3.4299999999999997</v>
      </c>
      <c r="X12" s="3">
        <f>SUM(X6:X11)</f>
        <v>1.72</v>
      </c>
      <c r="Y12" s="3">
        <f>SUM(Y6:Y11)</f>
        <v>2.7777444444444441</v>
      </c>
      <c r="Z12" s="3">
        <f>SUM(Z6:Z11)</f>
        <v>2.7777444444444441</v>
      </c>
      <c r="AA12" s="3">
        <f>SUM(AA6:AA11)</f>
        <v>5.3053644444444439</v>
      </c>
      <c r="AB12" s="3">
        <f>SUM(AB6:AB11)</f>
        <v>5.3053644444444439</v>
      </c>
      <c r="AC12" s="3">
        <f>SUM(AC6:AC11)</f>
        <v>5.3053644444444439</v>
      </c>
      <c r="AD12" s="3">
        <f>SUM(AD6:AD11)</f>
        <v>5.3053644444444439</v>
      </c>
      <c r="AE12" s="3">
        <f>SUM(AE6:AE11)</f>
        <v>2.7777444444444441</v>
      </c>
      <c r="AF12" s="3">
        <f>SUM(AF6:AF11)</f>
        <v>2.7777444444444441</v>
      </c>
      <c r="AG12" s="3">
        <f>SUM(AG6:AG11)</f>
        <v>2.7777444444444441</v>
      </c>
      <c r="AH12" s="3">
        <f>SUM(AH6:AH11)</f>
        <v>2.7777444444444441</v>
      </c>
      <c r="AI12" s="3">
        <f>SUM(AI6:AI11)</f>
        <v>2.7777444444444441</v>
      </c>
      <c r="AJ12" s="3">
        <f>SUM(AJ6:AJ11)</f>
        <v>2.7777444444444441</v>
      </c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>
        <f>SUM(V12:AT12)</f>
        <v>52.02341333333333</v>
      </c>
    </row>
    <row r="13" spans="1:47" x14ac:dyDescent="0.3"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</row>
    <row r="14" spans="1:47" x14ac:dyDescent="0.3">
      <c r="N14" s="5"/>
      <c r="O14" s="5"/>
      <c r="P14" s="5"/>
      <c r="Q14" s="5"/>
      <c r="R14" s="5"/>
      <c r="S14" s="5"/>
      <c r="T14" s="5"/>
      <c r="U14" s="5"/>
      <c r="V14" s="4">
        <v>30.61</v>
      </c>
      <c r="W14" s="4">
        <v>30.36</v>
      </c>
      <c r="X14" s="4">
        <v>30.31</v>
      </c>
      <c r="Y14" s="4">
        <v>15.56</v>
      </c>
      <c r="Z14" s="4">
        <v>15.37</v>
      </c>
      <c r="AA14" s="4">
        <v>14.66</v>
      </c>
      <c r="AB14" s="4">
        <v>13.21</v>
      </c>
      <c r="AC14" s="4">
        <v>13.21</v>
      </c>
      <c r="AD14" s="4">
        <v>10.81</v>
      </c>
      <c r="AE14" s="4">
        <v>10.02</v>
      </c>
      <c r="AF14" s="4">
        <v>9.91</v>
      </c>
      <c r="AG14" s="4">
        <v>9.98</v>
      </c>
      <c r="AH14" s="4">
        <v>7.49</v>
      </c>
      <c r="AI14" s="4">
        <v>6.49</v>
      </c>
      <c r="AJ14" s="4">
        <v>6.27</v>
      </c>
      <c r="AK14" s="4"/>
      <c r="AL14" s="4"/>
      <c r="AM14" s="4"/>
      <c r="AN14" s="4"/>
      <c r="AO14" s="4"/>
      <c r="AP14" s="4"/>
      <c r="AQ14" s="4"/>
      <c r="AR14" s="4"/>
      <c r="AS14" s="4"/>
      <c r="AT14" s="3"/>
      <c r="AU14" s="3">
        <f>SUM(V14:AT14)</f>
        <v>224.26000000000005</v>
      </c>
    </row>
    <row r="15" spans="1:47" x14ac:dyDescent="0.3"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</row>
    <row r="16" spans="1:47" x14ac:dyDescent="0.3">
      <c r="V16" s="3">
        <f>V12-V14</f>
        <v>-27.18</v>
      </c>
      <c r="W16" s="3">
        <f t="shared" ref="W16:AJ16" si="4">W12-W14</f>
        <v>-26.93</v>
      </c>
      <c r="X16" s="3">
        <f t="shared" si="4"/>
        <v>-28.59</v>
      </c>
      <c r="Y16" s="3">
        <f t="shared" si="4"/>
        <v>-12.782255555555556</v>
      </c>
      <c r="Z16" s="3">
        <f t="shared" si="4"/>
        <v>-12.592255555555555</v>
      </c>
      <c r="AA16" s="3">
        <f t="shared" si="4"/>
        <v>-9.3546355555555571</v>
      </c>
      <c r="AB16" s="3">
        <f t="shared" si="4"/>
        <v>-7.904635555555557</v>
      </c>
      <c r="AC16" s="3">
        <f t="shared" si="4"/>
        <v>-7.904635555555557</v>
      </c>
      <c r="AD16" s="3">
        <f t="shared" si="4"/>
        <v>-5.5046355555555566</v>
      </c>
      <c r="AE16" s="3">
        <f t="shared" si="4"/>
        <v>-7.2422555555555554</v>
      </c>
      <c r="AF16" s="3">
        <f t="shared" si="4"/>
        <v>-7.132255555555556</v>
      </c>
      <c r="AG16" s="3">
        <f t="shared" si="4"/>
        <v>-7.2022555555555563</v>
      </c>
      <c r="AH16" s="3">
        <f t="shared" si="4"/>
        <v>-4.7122555555555561</v>
      </c>
      <c r="AI16" s="3">
        <f t="shared" si="4"/>
        <v>-3.7122555555555561</v>
      </c>
      <c r="AJ16" s="3">
        <f t="shared" si="4"/>
        <v>-3.4922555555555554</v>
      </c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>
        <f>AU12-AU14</f>
        <v>-172.23658666666671</v>
      </c>
    </row>
    <row r="18" spans="22:46" x14ac:dyDescent="0.3">
      <c r="V18" s="3">
        <f>V12-V14</f>
        <v>-27.18</v>
      </c>
      <c r="W18" s="3">
        <f>V18+W12-W14</f>
        <v>-54.11</v>
      </c>
      <c r="X18" s="3">
        <f t="shared" ref="X18:AG18" si="5">W18+X12-X14</f>
        <v>-82.7</v>
      </c>
      <c r="Y18" s="3">
        <f t="shared" si="5"/>
        <v>-95.482255555555554</v>
      </c>
      <c r="Z18" s="3">
        <f t="shared" si="5"/>
        <v>-108.07451111111112</v>
      </c>
      <c r="AA18" s="3">
        <f>Z18+AA12-AA14</f>
        <v>-117.42914666666667</v>
      </c>
      <c r="AB18" s="3">
        <f t="shared" si="5"/>
        <v>-125.33378222222223</v>
      </c>
      <c r="AC18" s="3">
        <f t="shared" si="5"/>
        <v>-133.23841777777778</v>
      </c>
      <c r="AD18" s="3">
        <f t="shared" si="5"/>
        <v>-138.74305333333334</v>
      </c>
      <c r="AE18" s="3">
        <f t="shared" si="5"/>
        <v>-145.98530888888891</v>
      </c>
      <c r="AF18" s="3">
        <f t="shared" si="5"/>
        <v>-153.11756444444447</v>
      </c>
      <c r="AG18" s="3">
        <f t="shared" si="5"/>
        <v>-160.31982000000002</v>
      </c>
      <c r="AH18" s="3">
        <f t="shared" ref="AH18" si="6">AG18+AH12-AH14</f>
        <v>-165.03207555555559</v>
      </c>
      <c r="AI18" s="3">
        <f t="shared" ref="AI18" si="7">AH18+AI12-AI14</f>
        <v>-168.74433111111117</v>
      </c>
      <c r="AJ18" s="3">
        <f t="shared" ref="AJ18" si="8">AI18+AJ12-AJ14</f>
        <v>-172.23658666666674</v>
      </c>
      <c r="AK18" s="3"/>
      <c r="AL18" s="3"/>
      <c r="AM18" s="3"/>
      <c r="AN18" s="3"/>
      <c r="AO18" s="3"/>
      <c r="AP18" s="3"/>
      <c r="AQ18" s="3"/>
      <c r="AR18" s="3"/>
      <c r="AS18" s="3"/>
      <c r="AT18" s="3"/>
    </row>
  </sheetData>
  <mergeCells count="3">
    <mergeCell ref="V1:AD1"/>
    <mergeCell ref="AQ1:AS1"/>
    <mergeCell ref="AE1:AP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2026-06-04T07:53:41Z</dcterms:modified>
</cp:coreProperties>
</file>