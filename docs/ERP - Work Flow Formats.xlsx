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an\Downloads\"/>
    </mc:Choice>
  </mc:AlternateContent>
  <xr:revisionPtr revIDLastSave="0" documentId="13_ncr:1_{7A009579-A60F-4B47-B686-B2B98BD3026E}" xr6:coauthVersionLast="47" xr6:coauthVersionMax="47" xr10:uidLastSave="{00000000-0000-0000-0000-000000000000}"/>
  <bookViews>
    <workbookView xWindow="-108" yWindow="-108" windowWidth="23256" windowHeight="12576" tabRatio="856" xr2:uid="{00000000-000D-0000-FFFF-FFFF00000000}"/>
  </bookViews>
  <sheets>
    <sheet name="in out reg gr" sheetId="15" r:id="rId1"/>
    <sheet name="veh log bk gr" sheetId="11" r:id="rId2"/>
    <sheet name="property list gr" sheetId="14" r:id="rId3"/>
    <sheet name="Consul Bill" sheetId="18" r:id="rId4"/>
    <sheet name="Fund Flow" sheetId="19" r:id="rId5"/>
    <sheet name="Tender gr" sheetId="7" r:id="rId6"/>
    <sheet name="TADA Bills" sheetId="16" r:id="rId7"/>
    <sheet name="pmt sch gr" sheetId="13" r:id="rId8"/>
    <sheet name="contractor gr" sheetId="9" r:id="rId9"/>
    <sheet name="wip gr" sheetId="8" r:id="rId10"/>
    <sheet name="H R gr" sheetId="12" r:id="rId11"/>
    <sheet name="To Do Task" sheetId="17" r:id="rId12"/>
  </sheets>
  <definedNames>
    <definedName name="_xlnm._FilterDatabase" localSheetId="3" hidden="1">'Consul Bill'!#REF!</definedName>
    <definedName name="_xlnm._FilterDatabase" localSheetId="4" hidden="1">'Fund Flow'!$A$2:$AJ$9</definedName>
    <definedName name="_xlnm._FilterDatabase" localSheetId="7" hidden="1">'pmt sch gr'!$A$2:$E$32</definedName>
    <definedName name="_xlnm.Print_Area" localSheetId="3">'Consul Bill'!$A$1:$N$17</definedName>
    <definedName name="_xlnm.Print_Area" localSheetId="8">'contractor gr'!$A$1:$F$19</definedName>
    <definedName name="_xlnm.Print_Area" localSheetId="2">'property list gr'!$A$1:$E$18</definedName>
    <definedName name="_xlnm.Print_Area" localSheetId="6">'TADA Bills'!$A$1:$E$70</definedName>
    <definedName name="_xlnm.Print_Area" localSheetId="11">'To Do Task'!$A$1:$E$108</definedName>
    <definedName name="_xlnm.Print_Area" localSheetId="9">'wip gr'!$A$1:$G$23</definedName>
    <definedName name="_xlnm.Print_Titles" localSheetId="3">'Consul Bill'!$1:$2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4" i="19" l="1"/>
  <c r="X12" i="19"/>
  <c r="T9" i="19"/>
  <c r="N9" i="19"/>
  <c r="G9" i="19"/>
  <c r="F9" i="19"/>
  <c r="Q8" i="19"/>
  <c r="N8" i="19"/>
  <c r="G8" i="19"/>
  <c r="F8" i="19"/>
  <c r="R6" i="19"/>
  <c r="Q6" i="19"/>
  <c r="N6" i="19"/>
  <c r="G6" i="19"/>
  <c r="F6" i="19"/>
  <c r="F13" i="18"/>
  <c r="E13" i="18"/>
  <c r="F12" i="18"/>
  <c r="E12" i="18"/>
  <c r="G11" i="18"/>
  <c r="F11" i="18"/>
  <c r="E11" i="18"/>
  <c r="F10" i="18"/>
  <c r="E10" i="18"/>
  <c r="G7" i="18"/>
  <c r="K6" i="18"/>
  <c r="J6" i="18"/>
  <c r="F6" i="18"/>
  <c r="E6" i="18"/>
  <c r="K5" i="18"/>
  <c r="J5" i="18"/>
  <c r="F5" i="18"/>
  <c r="E5" i="18"/>
  <c r="X16" i="19" l="1"/>
  <c r="R8" i="19"/>
  <c r="H8" i="19"/>
  <c r="AP6" i="19"/>
  <c r="AO6" i="19"/>
  <c r="AN6" i="19"/>
  <c r="AM6" i="19"/>
  <c r="AL6" i="19"/>
  <c r="AK6" i="19"/>
  <c r="AJ6" i="19"/>
  <c r="AJ12" i="19" s="1"/>
  <c r="AJ16" i="19" s="1"/>
  <c r="AI6" i="19"/>
  <c r="AI12" i="19" s="1"/>
  <c r="AI16" i="19" s="1"/>
  <c r="AH6" i="19"/>
  <c r="AH12" i="19" s="1"/>
  <c r="AH16" i="19" s="1"/>
  <c r="AG6" i="19"/>
  <c r="AG12" i="19" s="1"/>
  <c r="AG16" i="19" s="1"/>
  <c r="AF6" i="19"/>
  <c r="AF12" i="19" s="1"/>
  <c r="AF16" i="19" s="1"/>
  <c r="AE6" i="19"/>
  <c r="AE12" i="19" s="1"/>
  <c r="AE16" i="19" s="1"/>
  <c r="AD6" i="19"/>
  <c r="AC6" i="19"/>
  <c r="AB6" i="19"/>
  <c r="AA6" i="19"/>
  <c r="Z6" i="19"/>
  <c r="Z12" i="19" s="1"/>
  <c r="Z16" i="19" s="1"/>
  <c r="U6" i="19"/>
  <c r="H6" i="19"/>
  <c r="W9" i="19"/>
  <c r="W12" i="19" s="1"/>
  <c r="W16" i="19" s="1"/>
  <c r="V9" i="19"/>
  <c r="U9" i="19"/>
  <c r="H9" i="19"/>
  <c r="H5" i="18"/>
  <c r="H6" i="18"/>
  <c r="I6" i="18" s="1"/>
  <c r="G13" i="18"/>
  <c r="G14" i="18" s="1"/>
  <c r="H12" i="18"/>
  <c r="H10" i="18"/>
  <c r="U8" i="19" l="1"/>
  <c r="AA8" i="19" s="1"/>
  <c r="AB8" i="19"/>
  <c r="AB12" i="19" s="1"/>
  <c r="AB16" i="19" s="1"/>
  <c r="AC8" i="19"/>
  <c r="AC12" i="19" s="1"/>
  <c r="AC16" i="19" s="1"/>
  <c r="AD8" i="19"/>
  <c r="AD12" i="19" s="1"/>
  <c r="AD16" i="19" s="1"/>
  <c r="Y6" i="19"/>
  <c r="AU9" i="19"/>
  <c r="V12" i="19"/>
  <c r="I5" i="18"/>
  <c r="H7" i="18"/>
  <c r="K12" i="18"/>
  <c r="K10" i="18"/>
  <c r="H14" i="18"/>
  <c r="G17" i="18"/>
  <c r="AA12" i="19" l="1"/>
  <c r="AA16" i="19" s="1"/>
  <c r="AU8" i="19"/>
  <c r="AU6" i="19"/>
  <c r="Y12" i="19"/>
  <c r="Y16" i="19" s="1"/>
  <c r="AU12" i="19"/>
  <c r="AU16" i="19" s="1"/>
  <c r="V16" i="19"/>
  <c r="V18" i="19"/>
  <c r="W18" i="19" s="1"/>
  <c r="X18" i="19" s="1"/>
  <c r="Y18" i="19" s="1"/>
  <c r="Z18" i="19" s="1"/>
  <c r="AA18" i="19" s="1"/>
  <c r="AB18" i="19" s="1"/>
  <c r="AC18" i="19" s="1"/>
  <c r="AD18" i="19" s="1"/>
  <c r="AE18" i="19" s="1"/>
  <c r="AF18" i="19" s="1"/>
  <c r="AG18" i="19" s="1"/>
  <c r="AH18" i="19" s="1"/>
  <c r="AI18" i="19" s="1"/>
  <c r="AJ18" i="19" s="1"/>
  <c r="U11" i="19"/>
  <c r="H17" i="18"/>
  <c r="I12" i="18"/>
  <c r="I10" i="18"/>
</calcChain>
</file>

<file path=xl/sharedStrings.xml><?xml version="1.0" encoding="utf-8"?>
<sst xmlns="http://schemas.openxmlformats.org/spreadsheetml/2006/main" count="637" uniqueCount="454">
  <si>
    <t>Tender ID</t>
  </si>
  <si>
    <t xml:space="preserve">Date </t>
  </si>
  <si>
    <t>Name of tender applied</t>
  </si>
  <si>
    <t>E M D</t>
  </si>
  <si>
    <t>Rates of all dealers – L 1 dealer</t>
  </si>
  <si>
    <t>Agreement</t>
  </si>
  <si>
    <t>Type of work</t>
  </si>
  <si>
    <t>Name of department</t>
  </si>
  <si>
    <t>State</t>
  </si>
  <si>
    <t>City</t>
  </si>
  <si>
    <t>Platform</t>
  </si>
  <si>
    <t>Name of work</t>
  </si>
  <si>
    <t>Bidding last date</t>
  </si>
  <si>
    <t xml:space="preserve">Date of opening </t>
  </si>
  <si>
    <t>Tender fee</t>
  </si>
  <si>
    <t>Price comparison</t>
  </si>
  <si>
    <t>L O I</t>
  </si>
  <si>
    <t xml:space="preserve">Work order </t>
  </si>
  <si>
    <t xml:space="preserve">Amount of work </t>
  </si>
  <si>
    <t>Security deposit</t>
  </si>
  <si>
    <t>H O coordinator</t>
  </si>
  <si>
    <t>R O coordinator</t>
  </si>
  <si>
    <t xml:space="preserve">Other staff detail </t>
  </si>
  <si>
    <t>R A Bill</t>
  </si>
  <si>
    <t xml:space="preserve">Detailed order </t>
  </si>
  <si>
    <t xml:space="preserve">Type of work </t>
  </si>
  <si>
    <t>D  P R</t>
  </si>
  <si>
    <t>Ts/Aa Date</t>
  </si>
  <si>
    <t>Tender Id</t>
  </si>
  <si>
    <t>Name of contractor</t>
  </si>
  <si>
    <t xml:space="preserve">Amount of tender approved </t>
  </si>
  <si>
    <t>Contact detail</t>
  </si>
  <si>
    <t>Schedule B</t>
  </si>
  <si>
    <t>R A bill no</t>
  </si>
  <si>
    <t xml:space="preserve">Final progress 
</t>
  </si>
  <si>
    <t xml:space="preserve">S A E C fees </t>
  </si>
  <si>
    <t>Project Exp</t>
  </si>
  <si>
    <t xml:space="preserve">Drawing </t>
  </si>
  <si>
    <t>e-mail</t>
  </si>
  <si>
    <t xml:space="preserve">address </t>
  </si>
  <si>
    <t>Project Management  -  Contractor Detail</t>
  </si>
  <si>
    <t>Project Management - Work In Progress</t>
  </si>
  <si>
    <t xml:space="preserve">Project Management - Tender </t>
  </si>
  <si>
    <t>Current date .. by default / selection of date</t>
  </si>
  <si>
    <t>Write tender name as per advertisement</t>
  </si>
  <si>
    <t xml:space="preserve">Write tender I D as per advertisement </t>
  </si>
  <si>
    <t xml:space="preserve">Write department name per advertisement </t>
  </si>
  <si>
    <t xml:space="preserve">Write state name per advertisement </t>
  </si>
  <si>
    <t xml:space="preserve">Write city name per advertisement </t>
  </si>
  <si>
    <t xml:space="preserve">Write platform name, from which we applied for tender </t>
  </si>
  <si>
    <t xml:space="preserve">Write name of work, for which we applied for </t>
  </si>
  <si>
    <t xml:space="preserve">Selection of date from Calendar </t>
  </si>
  <si>
    <t xml:space="preserve">&gt; Update to reminder / to do list with concern authority </t>
  </si>
  <si>
    <t xml:space="preserve">Write type of work, as per advertisement </t>
  </si>
  <si>
    <t>Department list in master</t>
  </si>
  <si>
    <t>State list in master</t>
  </si>
  <si>
    <t>City list in master</t>
  </si>
  <si>
    <t>Platform list in master</t>
  </si>
  <si>
    <t>Typer of work in master</t>
  </si>
  <si>
    <t>Date / Mode of payment / Amount Rs.</t>
  </si>
  <si>
    <t xml:space="preserve">&gt; Update to Tender Exp. List </t>
  </si>
  <si>
    <t xml:space="preserve">Date / Mode of payment / Amount Rs. / Return collection date </t>
  </si>
  <si>
    <t xml:space="preserve">Compare with Related work </t>
  </si>
  <si>
    <t xml:space="preserve">Keep record for future compression </t>
  </si>
  <si>
    <t>Gujarat Police Housing                             Rajkot Municipal Corporation             Kalawad Gram Panchayat</t>
  </si>
  <si>
    <t xml:space="preserve">npro.gov.in tendertiger.com guj.npro.gov.in </t>
  </si>
  <si>
    <t>L 1 - Contractor Name - City                                        L 2 - Contractor Name - City                                          L 3 - Contractor Name - City</t>
  </si>
  <si>
    <t>A/c</t>
  </si>
  <si>
    <t xml:space="preserve">Gujarat                                                  Maharastra                                    Goa                                       Rajasthan </t>
  </si>
  <si>
    <t xml:space="preserve">Rajkot                                     Kalawad                                  Jamnagar                     </t>
  </si>
  <si>
    <t xml:space="preserve">P M C                                                        T P I </t>
  </si>
  <si>
    <t>service</t>
  </si>
  <si>
    <t>L 3 – L 2 – L 1 price / upload</t>
  </si>
  <si>
    <t xml:space="preserve">Road                                            Water </t>
  </si>
  <si>
    <t>soft copy list upload</t>
  </si>
  <si>
    <t xml:space="preserve">advertisment copy Upload </t>
  </si>
  <si>
    <t>Update schedule for agreement as required</t>
  </si>
  <si>
    <r>
      <t xml:space="preserve">&gt; Update &amp; upload to reminder / to do list with concern authority </t>
    </r>
    <r>
      <rPr>
        <sz val="11"/>
        <color rgb="FFFF0000"/>
        <rFont val="Calibri"/>
        <family val="2"/>
        <scheme val="minor"/>
      </rPr>
      <t xml:space="preserve">for time limit </t>
    </r>
  </si>
  <si>
    <t>L O I  received</t>
  </si>
  <si>
    <t>Work order received</t>
  </si>
  <si>
    <r>
      <t xml:space="preserve">&gt; Update &amp; upload list with concern authority </t>
    </r>
    <r>
      <rPr>
        <sz val="11"/>
        <color rgb="FFFF0000"/>
        <rFont val="Calibri"/>
        <family val="2"/>
        <scheme val="minor"/>
      </rPr>
      <t xml:space="preserve"> &amp; staff members</t>
    </r>
  </si>
  <si>
    <t xml:space="preserve">Detail of deposit to be feed </t>
  </si>
  <si>
    <t xml:space="preserve">Detail of amount to be feed </t>
  </si>
  <si>
    <t>&gt; upload detail to concern authority  &amp; staff members</t>
  </si>
  <si>
    <t>Admin</t>
  </si>
  <si>
    <t>Staff member list in master</t>
  </si>
  <si>
    <t>Ketan Makadiya Devang Lakhani Nikhil Davda</t>
  </si>
  <si>
    <t xml:space="preserve">Ketan Makadiya </t>
  </si>
  <si>
    <t>Nikhil Davda</t>
  </si>
  <si>
    <t xml:space="preserve"> Devang Lakhani </t>
  </si>
  <si>
    <t xml:space="preserve">&gt; upload detail to concern authority  </t>
  </si>
  <si>
    <t>Date / Customer / Wo No / Details / Amt Rs</t>
  </si>
  <si>
    <t xml:space="preserve">As per format </t>
  </si>
  <si>
    <t>&gt; L 1</t>
  </si>
  <si>
    <t>&gt; L 2</t>
  </si>
  <si>
    <t xml:space="preserve">&gt; L 3 </t>
  </si>
  <si>
    <t>&gt; L 4</t>
  </si>
  <si>
    <t xml:space="preserve">Order list in Order Master </t>
  </si>
  <si>
    <t xml:space="preserve">Work list from Work Master </t>
  </si>
  <si>
    <t xml:space="preserve">Type of Type  Master </t>
  </si>
  <si>
    <t>List from D P R Master</t>
  </si>
  <si>
    <t>SACE/ELE/MOR/12/072021</t>
  </si>
  <si>
    <t>List from TA/Aa Master</t>
  </si>
  <si>
    <t>GSPH/CIVIL/GDL/12-1/072021</t>
  </si>
  <si>
    <t xml:space="preserve">Write Contractor Name as per Govt. Info </t>
  </si>
  <si>
    <t xml:space="preserve">Write Amount Rs. as per Govt. Info </t>
  </si>
  <si>
    <t xml:space="preserve">Work order from Work order Master </t>
  </si>
  <si>
    <t xml:space="preserve">&gt; upload detail as per Official approval   </t>
  </si>
  <si>
    <t xml:space="preserve">Drawing  from Drawing  Master </t>
  </si>
  <si>
    <t xml:space="preserve">Contact detail from Contact Master </t>
  </si>
  <si>
    <t>As per format</t>
  </si>
  <si>
    <t>Vehicle Log Book</t>
  </si>
  <si>
    <t>Date</t>
  </si>
  <si>
    <t>Tour start From – To</t>
  </si>
  <si>
    <t>Start K M</t>
  </si>
  <si>
    <t>End K M</t>
  </si>
  <si>
    <t xml:space="preserve">Total Travel   K M </t>
  </si>
  <si>
    <t xml:space="preserve">Person Travelling </t>
  </si>
  <si>
    <t>Purpose of travel</t>
  </si>
  <si>
    <t>Amt. of Fuel</t>
  </si>
  <si>
    <t>Service Perticular</t>
  </si>
  <si>
    <t>Amt. Rs</t>
  </si>
  <si>
    <t>Maintaince Perticular</t>
  </si>
  <si>
    <t>Tax, if applicable</t>
  </si>
  <si>
    <t>Remarks if, any</t>
  </si>
  <si>
    <t>Vehicle Detail</t>
  </si>
  <si>
    <t xml:space="preserve">Vehicle  list in Vehicle Master </t>
  </si>
  <si>
    <t xml:space="preserve">Maruti Wagon R    Honda Activa    Bajaj Boxer </t>
  </si>
  <si>
    <t>R C Book</t>
  </si>
  <si>
    <t>Insurance</t>
  </si>
  <si>
    <t>P U C</t>
  </si>
  <si>
    <t>Tyre &amp; Battry Wrty detail</t>
  </si>
  <si>
    <t>Vehicle Inv.</t>
  </si>
  <si>
    <t xml:space="preserve">Detail of Tour to be feed </t>
  </si>
  <si>
    <t>Rajkot - Gondal</t>
  </si>
  <si>
    <t>&gt; upload photo</t>
  </si>
  <si>
    <t>&gt; calculate tour K M</t>
  </si>
  <si>
    <t xml:space="preserve">Staff list from Staff Master </t>
  </si>
  <si>
    <t>Gujarat Police Housing                               R M C                     Kalawad Panchayat</t>
  </si>
  <si>
    <t xml:space="preserve">W I P list / New Business  list from Master </t>
  </si>
  <si>
    <t xml:space="preserve">&gt; upload petrol bill &amp; odomtr </t>
  </si>
  <si>
    <t xml:space="preserve">&gt; upload bill &amp; odomtr </t>
  </si>
  <si>
    <t xml:space="preserve">&gt; upload tax rec. </t>
  </si>
  <si>
    <t xml:space="preserve">Approved by  travelling Authority </t>
  </si>
  <si>
    <t xml:space="preserve">&gt; approval status marking  </t>
  </si>
  <si>
    <t>a</t>
  </si>
  <si>
    <t>A/c.</t>
  </si>
  <si>
    <t xml:space="preserve">Reminder + To do list </t>
  </si>
  <si>
    <t>Sr. No</t>
  </si>
  <si>
    <t>Emp. Id</t>
  </si>
  <si>
    <t>Name</t>
  </si>
  <si>
    <t>Department</t>
  </si>
  <si>
    <t>Phone Numbers</t>
  </si>
  <si>
    <t>Alternet Phone Number</t>
  </si>
  <si>
    <t>Interview form</t>
  </si>
  <si>
    <t xml:space="preserve">Resume </t>
  </si>
  <si>
    <t>Photo Id proof</t>
  </si>
  <si>
    <t xml:space="preserve">Address proof </t>
  </si>
  <si>
    <t>Degree Certificate</t>
  </si>
  <si>
    <t>Pass out Year</t>
  </si>
  <si>
    <t>Other Qualification</t>
  </si>
  <si>
    <t>Letter of Guarantee</t>
  </si>
  <si>
    <t>Office Time Frame ( Annexure - A )</t>
  </si>
  <si>
    <t>Daily Reporting ( Form - 2 )</t>
  </si>
  <si>
    <t>Leave Policy ( Form - 3 )</t>
  </si>
  <si>
    <t>Designation</t>
  </si>
  <si>
    <t>Date of Joining</t>
  </si>
  <si>
    <t>Date of Exit</t>
  </si>
  <si>
    <t>Father's Name</t>
  </si>
  <si>
    <t>Mother's Name</t>
  </si>
  <si>
    <t>Permanent Address</t>
  </si>
  <si>
    <t>Communication Address</t>
  </si>
  <si>
    <t>Email ID</t>
  </si>
  <si>
    <t>Date of Birth</t>
  </si>
  <si>
    <t>Nationality</t>
  </si>
  <si>
    <t>Religion and Caste</t>
  </si>
  <si>
    <t>Marital Status</t>
  </si>
  <si>
    <t>H R Module</t>
  </si>
  <si>
    <t>Auto generated by system</t>
  </si>
  <si>
    <t xml:space="preserve">Write Emp. as per documents  </t>
  </si>
  <si>
    <t>Select from department list master</t>
  </si>
  <si>
    <t xml:space="preserve">Department Master </t>
  </si>
  <si>
    <t>B L  C                                                                GPHCL                                                      Nagarpalika                                             Corporate sector</t>
  </si>
  <si>
    <t xml:space="preserve">Write Phone number as per documents  </t>
  </si>
  <si>
    <t>As per Google forms</t>
  </si>
  <si>
    <t xml:space="preserve">SR ENG                                                                    JR ENG                                                                  Ele ENG                                                                          Manager                                             Accountant  </t>
  </si>
  <si>
    <t xml:space="preserve">Designation  Master </t>
  </si>
  <si>
    <t>Select from Designation master</t>
  </si>
  <si>
    <t>Write joining date as per appointment ltr</t>
  </si>
  <si>
    <t>Write as per Resignation ltr</t>
  </si>
  <si>
    <t xml:space="preserve">Write as per documents  </t>
  </si>
  <si>
    <t>Payment schedules</t>
  </si>
  <si>
    <t>Payment Type</t>
  </si>
  <si>
    <t>Scheduled date Tenure                      Due payment</t>
  </si>
  <si>
    <t>Payment type list in master</t>
  </si>
  <si>
    <t>Due date</t>
  </si>
  <si>
    <t>to do / task list</t>
  </si>
  <si>
    <t xml:space="preserve">enter  / select date .. As per schduled </t>
  </si>
  <si>
    <t>Category</t>
  </si>
  <si>
    <t>Exise                                G S T                               T D S                       Vehicle Loan</t>
  </si>
  <si>
    <t>Category type list in master</t>
  </si>
  <si>
    <t>Detail</t>
  </si>
  <si>
    <t>Detail as per bill</t>
  </si>
  <si>
    <t>Upload bill copy</t>
  </si>
  <si>
    <t>Amount Rs.</t>
  </si>
  <si>
    <t>Enter bill amount to be paid</t>
  </si>
  <si>
    <t>H R list from master</t>
  </si>
  <si>
    <t xml:space="preserve">Responsible person </t>
  </si>
  <si>
    <t xml:space="preserve">Enter assign qty </t>
  </si>
  <si>
    <t>Qty</t>
  </si>
  <si>
    <t>Assign to [ Person / Office ]</t>
  </si>
  <si>
    <t>Bills &amp; warranty detail [ scanned copy]</t>
  </si>
  <si>
    <t>Ele/Fan/Usha/1</t>
  </si>
  <si>
    <t>Security code</t>
  </si>
  <si>
    <t xml:space="preserve">Enter purchase qty </t>
  </si>
  <si>
    <t>Enter purchase year / bill</t>
  </si>
  <si>
    <t xml:space="preserve">Year of purchase </t>
  </si>
  <si>
    <t>Model type list in master</t>
  </si>
  <si>
    <t>Test 1           wgr gt        usha          orient</t>
  </si>
  <si>
    <t xml:space="preserve">Model </t>
  </si>
  <si>
    <t>Make type list in master</t>
  </si>
  <si>
    <t xml:space="preserve">L G         Samsung Maruti </t>
  </si>
  <si>
    <t xml:space="preserve">Make </t>
  </si>
  <si>
    <t>Item Code</t>
  </si>
  <si>
    <t>air- conditioner car computer Fan</t>
  </si>
  <si>
    <t>Detail of property</t>
  </si>
  <si>
    <t>Property list</t>
  </si>
  <si>
    <t xml:space="preserve"> In Out Register </t>
  </si>
  <si>
    <t>Doc date</t>
  </si>
  <si>
    <t>Rec. Date</t>
  </si>
  <si>
    <t>Doc Ref. No</t>
  </si>
  <si>
    <t xml:space="preserve">Write state name per documents </t>
  </si>
  <si>
    <t>GMB/XEN/C/BVC/PB/339 GMB/XEN/C/BVC/PB/340  JN/PRAVASYO/BLC/GHTK/2810 GPH/tec/kie/gn/157/739/21</t>
  </si>
  <si>
    <t>For Example</t>
  </si>
  <si>
    <t xml:space="preserve">From </t>
  </si>
  <si>
    <t>GUJARAT MARITIME BOARD Gujarat Police Housing Nigam PRADESHIK COMMISSNOR NAGARPALIKA KACHERI</t>
  </si>
  <si>
    <t>List from client master</t>
  </si>
  <si>
    <t>Reminder &amp; To do list / Task</t>
  </si>
  <si>
    <t>Refer uploaded documents</t>
  </si>
  <si>
    <t>C C marking</t>
  </si>
  <si>
    <t>Reminder &amp; To do list</t>
  </si>
  <si>
    <t>Ketan Makadiya                        Devang Lakhani                       Nikhil Davda</t>
  </si>
  <si>
    <t>List from H R master</t>
  </si>
  <si>
    <t>Action suggested</t>
  </si>
  <si>
    <t>Task list</t>
  </si>
  <si>
    <t>Reply Date</t>
  </si>
  <si>
    <t>Reply Ref. No</t>
  </si>
  <si>
    <t xml:space="preserve">As per system generated </t>
  </si>
  <si>
    <t>Detail of pre-bid meeting / Attended</t>
  </si>
  <si>
    <t>Yes / No</t>
  </si>
  <si>
    <t>Pre-bid meeting</t>
  </si>
  <si>
    <t>Negotiation Meeting</t>
  </si>
  <si>
    <t>Ketan Makadiya                                                                                Devang Lakhani                                                       Nikhil Davda</t>
  </si>
  <si>
    <t>Ketan Makadiya                                                     Devang Lakhani                                                       Nikhil Davda</t>
  </si>
  <si>
    <t>Gujarat Police Housing                                      Rajkot Municipal Corporation               Kalawad Gram Panchayat</t>
  </si>
  <si>
    <t xml:space="preserve">Road                                                                             Water </t>
  </si>
  <si>
    <t xml:space="preserve">P M C                                                                                         T P I </t>
  </si>
  <si>
    <t>Present city of working</t>
  </si>
  <si>
    <t>Completion  certificate</t>
  </si>
  <si>
    <t>Annexure 3 A</t>
  </si>
  <si>
    <t>All bills + certificate + Test copy</t>
  </si>
  <si>
    <t xml:space="preserve">પ્રોપર્ટિ નું નામ </t>
  </si>
  <si>
    <t>કેટેગરી</t>
  </si>
  <si>
    <t>મોડેલ</t>
  </si>
  <si>
    <t>કંપની</t>
  </si>
  <si>
    <t>સંખ્યા</t>
  </si>
  <si>
    <t>Project Name as per tender</t>
  </si>
  <si>
    <t>*</t>
  </si>
  <si>
    <t>all fields to be mendetory</t>
  </si>
  <si>
    <t xml:space="preserve">3 a certi </t>
  </si>
  <si>
    <t>project close after 3  a certi</t>
  </si>
  <si>
    <t>TADA Bills</t>
  </si>
  <si>
    <t>* link details with Employee attandance mark</t>
  </si>
  <si>
    <t>Name of Employee</t>
  </si>
  <si>
    <t>Employee Code</t>
  </si>
  <si>
    <t>Tour Purpose</t>
  </si>
  <si>
    <t xml:space="preserve">From Date </t>
  </si>
  <si>
    <t>to Date</t>
  </si>
  <si>
    <t>Location</t>
  </si>
  <si>
    <t>Expense Section</t>
  </si>
  <si>
    <t>Travel Exp</t>
  </si>
  <si>
    <t>Accomodation Exp.</t>
  </si>
  <si>
    <t>Food Exp.</t>
  </si>
  <si>
    <t>Local Conveyance</t>
  </si>
  <si>
    <t>Other Exp.</t>
  </si>
  <si>
    <t>Total Claim Exp</t>
  </si>
  <si>
    <t>Approval Section</t>
  </si>
  <si>
    <t>Manager Remarks</t>
  </si>
  <si>
    <t>Account Remarks</t>
  </si>
  <si>
    <t>┌───────────────────┐</t>
  </si>
  <si>
    <t>│  Employee Login   │</t>
  </si>
  <si>
    <t>└─────────┬─────────┘</t>
  </si>
  <si>
    <t xml:space="preserve">          ▼</t>
  </si>
  <si>
    <t>┌─────────────────────────────┐</t>
  </si>
  <si>
    <t>│ Create TA/DA Claim Request  │</t>
  </si>
  <si>
    <t>│ - Tour Details              │</t>
  </si>
  <si>
    <t>│ - Travel Expenses           │</t>
  </si>
  <si>
    <t>│ - Hotel Expenses            │</t>
  </si>
  <si>
    <t>│ - Other Expenses            │</t>
  </si>
  <si>
    <t>│ - Attach Supporting Bills   │</t>
  </si>
  <si>
    <t>└─────────┬───────────────────┘</t>
  </si>
  <si>
    <t>│ Submit Claim                │</t>
  </si>
  <si>
    <t>│ Reporting Manager Review    │</t>
  </si>
  <si>
    <t>└──────┬──────────────┬────────┘</t>
  </si>
  <si>
    <t xml:space="preserve">       │Approve       │Reject</t>
  </si>
  <si>
    <t xml:space="preserve">       ▼              ▼</t>
  </si>
  <si>
    <t>┌─────────────┐   ┌────────────────┐</t>
  </si>
  <si>
    <t>│ Approval    │   │ Employee       │</t>
  </si>
  <si>
    <t>└──────┬──────┘   └────────────────┘</t>
  </si>
  <si>
    <t xml:space="preserve">       ▼</t>
  </si>
  <si>
    <t>│ Accounts Verification       │</t>
  </si>
  <si>
    <t>│ - Bill Verification         │</t>
  </si>
  <si>
    <t>│ - Advance Adjustment        │</t>
  </si>
  <si>
    <t xml:space="preserve">       │Approve       │Query</t>
  </si>
  <si>
    <t>└──────┬──────────────────────┘</t>
  </si>
  <si>
    <t>│ Payment Processing          │</t>
  </si>
  <si>
    <t>│ (Bank Transfer/Salary)      │</t>
  </si>
  <si>
    <t>TA/DA Claim Approval Workflow</t>
  </si>
  <si>
    <t>Employee Section</t>
  </si>
  <si>
    <t xml:space="preserve">        ▼</t>
  </si>
  <si>
    <t>│ Accounts   │   │ Return to      │</t>
  </si>
  <si>
    <t>│ Payment     │   │ Return to      │</t>
  </si>
  <si>
    <t>┌──────────────────┐</t>
  </si>
  <si>
    <t>│ Employee / Admin │</t>
  </si>
  <si>
    <t>└─────────┬────────┘</t>
  </si>
  <si>
    <t>┌──────────────────────────────┐</t>
  </si>
  <si>
    <t>│ Create New Task              │</t>
  </si>
  <si>
    <t>│ - Task Title                 │</t>
  </si>
  <si>
    <t>│ - Description                │</t>
  </si>
  <si>
    <t>│ - Priority                   │</t>
  </si>
  <si>
    <t>│ - Due Date                   │</t>
  </si>
  <si>
    <t>│ - Attachment                 │</t>
  </si>
  <si>
    <t>└─────────┬────────────────────┘</t>
  </si>
  <si>
    <t>│ Assign Task                  │</t>
  </si>
  <si>
    <t>│ - Self Assignment            │</t>
  </si>
  <si>
    <t>│ - Team Member Assignment     │</t>
  </si>
  <si>
    <t>│ - Multiple Assignees         │</t>
  </si>
  <si>
    <t>│ Task Status = OPEN           │</t>
  </si>
  <si>
    <t>│ Assignee Accepts Task        │</t>
  </si>
  <si>
    <t>│ Status = IN PROGRESS         │</t>
  </si>
  <si>
    <t>│ - Update Progress            │</t>
  </si>
  <si>
    <t>│ - Add Comments               │</t>
  </si>
  <si>
    <t>│ - Upload Documents           │</t>
  </si>
  <si>
    <t>└──────┬─────────────┬─────────┘</t>
  </si>
  <si>
    <t xml:space="preserve">       │             ▼</t>
  </si>
  <si>
    <t xml:space="preserve">       │      ┌─────────────────┐</t>
  </si>
  <si>
    <t xml:space="preserve">       │      │ On Hold         │</t>
  </si>
  <si>
    <t xml:space="preserve">       │      │ Waiting Inputs  │</t>
  </si>
  <si>
    <t xml:space="preserve">       │      └────────┬────────┘</t>
  </si>
  <si>
    <t xml:space="preserve">       │               │</t>
  </si>
  <si>
    <t xml:space="preserve">       └───────────────┘</t>
  </si>
  <si>
    <t xml:space="preserve">                       ▼</t>
  </si>
  <si>
    <t>│ Task Completed by Assignee   │</t>
  </si>
  <si>
    <t>│ Status = Pending Review      │</t>
  </si>
  <si>
    <t>│ Reviewer / Manager Review    │</t>
  </si>
  <si>
    <t>┌───────────────┐   ┌─────────────────┐</t>
  </si>
  <si>
    <t>│ Status =      │   │ Rework Required │</t>
  </si>
  <si>
    <t>│ COMPLETED     │   │ Back to User    │</t>
  </si>
  <si>
    <t>└──────┬────────┘   └────────┬────────┘</t>
  </si>
  <si>
    <t xml:space="preserve">       │                     │</t>
  </si>
  <si>
    <t xml:space="preserve">       └─────────────────────┘</t>
  </si>
  <si>
    <t xml:space="preserve">                     │</t>
  </si>
  <si>
    <t xml:space="preserve">                     ▼</t>
  </si>
  <si>
    <t xml:space="preserve">             Status = IN PROGRESS</t>
  </si>
  <si>
    <t>TO-DO TASK MANAGEMENT WORKFLOW</t>
  </si>
  <si>
    <t>ERP Fields</t>
  </si>
  <si>
    <t>Task Details</t>
  </si>
  <si>
    <t>Task ID (Auto Generated)</t>
  </si>
  <si>
    <t>Task Title</t>
  </si>
  <si>
    <t>Description</t>
  </si>
  <si>
    <t>Priority (Low / Medium / High / Critical)</t>
  </si>
  <si>
    <t>Start Date</t>
  </si>
  <si>
    <t>Due Date</t>
  </si>
  <si>
    <t>Assignment Details</t>
  </si>
  <si>
    <t>Assigned By</t>
  </si>
  <si>
    <t>Assigned To</t>
  </si>
  <si>
    <t>Reviewer</t>
  </si>
  <si>
    <t>Team Members</t>
  </si>
  <si>
    <t>Progress Tracking</t>
  </si>
  <si>
    <t>Percentage Completion</t>
  </si>
  <si>
    <t>Remarks</t>
  </si>
  <si>
    <t>Attachments</t>
  </si>
  <si>
    <t>Activity Log</t>
  </si>
  <si>
    <t>Notifications</t>
  </si>
  <si>
    <t>Task Assigned</t>
  </si>
  <si>
    <t>Due Date Reminder</t>
  </si>
  <si>
    <t>Overdue Reminder</t>
  </si>
  <si>
    <t>Task Completed</t>
  </si>
  <si>
    <t>Review Pending</t>
  </si>
  <si>
    <t>Dashboard &amp; Reports</t>
  </si>
  <si>
    <t>Open Tasks</t>
  </si>
  <si>
    <t>Pending Tasks</t>
  </si>
  <si>
    <t>Overdue Tasks</t>
  </si>
  <si>
    <t>Completed Tasks</t>
  </si>
  <si>
    <t>Employee-wise Task Summary</t>
  </si>
  <si>
    <t>Department-wise Task Summary</t>
  </si>
  <si>
    <t>Priority-wise Task Summary</t>
  </si>
  <si>
    <t>* link details with Project Management</t>
  </si>
  <si>
    <t>BILL STATUS</t>
  </si>
  <si>
    <t>Sr. No.</t>
  </si>
  <si>
    <t>Name of Nagarpalika</t>
  </si>
  <si>
    <t>Scheme</t>
  </si>
  <si>
    <t>Gross Amt</t>
  </si>
  <si>
    <t>SGST</t>
  </si>
  <si>
    <t>CGST</t>
  </si>
  <si>
    <t>Bill Amt</t>
  </si>
  <si>
    <t>Received</t>
  </si>
  <si>
    <t>Cheque Amt</t>
  </si>
  <si>
    <t>SD</t>
  </si>
  <si>
    <t>IT / TDS</t>
  </si>
  <si>
    <t>Bill Date</t>
  </si>
  <si>
    <t>Rcv Date</t>
  </si>
  <si>
    <t>GSPHC</t>
  </si>
  <si>
    <t>●</t>
  </si>
  <si>
    <t>Abad Division</t>
  </si>
  <si>
    <t>1st RA</t>
  </si>
  <si>
    <t>2nd RA</t>
  </si>
  <si>
    <t>GUDM</t>
  </si>
  <si>
    <t>Wadhvan</t>
  </si>
  <si>
    <t>TPI</t>
  </si>
  <si>
    <t>Pending</t>
  </si>
  <si>
    <t>Khambhaliya WS</t>
  </si>
  <si>
    <t>DPR</t>
  </si>
  <si>
    <t>Kutiyana - UGD</t>
  </si>
  <si>
    <t>TOTAL</t>
  </si>
  <si>
    <t>Total</t>
  </si>
  <si>
    <t>Region Name</t>
  </si>
  <si>
    <t>Client Name</t>
  </si>
  <si>
    <t>Project Name</t>
  </si>
  <si>
    <t>Date of Work Order</t>
  </si>
  <si>
    <t>Time Limit
(in Month)</t>
  </si>
  <si>
    <t>Stipulated Date of Completion</t>
  </si>
  <si>
    <t>Target Date of Completion</t>
  </si>
  <si>
    <t>Target Time Limit
(In Month)</t>
  </si>
  <si>
    <t>Team Leader/Project Manager</t>
  </si>
  <si>
    <t>Residential Engineer</t>
  </si>
  <si>
    <t>Design Engineer</t>
  </si>
  <si>
    <t>Site Engineer</t>
  </si>
  <si>
    <t>Misc Exp</t>
  </si>
  <si>
    <t>Staff Exp.</t>
  </si>
  <si>
    <t>Total Project Cost</t>
  </si>
  <si>
    <t>completed work amt</t>
  </si>
  <si>
    <t>remaining work amt</t>
  </si>
  <si>
    <t xml:space="preserve">Total Fee </t>
  </si>
  <si>
    <t>Proposed / Due Bill Amount</t>
  </si>
  <si>
    <t>fee recvd</t>
  </si>
  <si>
    <t>remaing fee</t>
  </si>
  <si>
    <t>Rajkot</t>
  </si>
  <si>
    <t>Gujarat State Police Housing Corporation(RR)</t>
  </si>
  <si>
    <t>Design &amp; PMC - Surat Division (Tribal School Development)</t>
  </si>
  <si>
    <t>Gujarat Urban Development Mission(RR)</t>
  </si>
  <si>
    <t>Design - Kutiyana UGD Project</t>
  </si>
  <si>
    <t>Design - Kalwad Ws Project</t>
  </si>
  <si>
    <t>Total Income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</si>
</sst>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Shruti"/>
      <family val="2"/>
    </font>
    <font>
      <sz val="11"/>
      <color rgb="FFFF0000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sz val="12"/>
      <color theme="0"/>
      <name val="Berlin Sans FB Demi"/>
      <family val="2"/>
    </font>
    <font>
      <sz val="12"/>
      <color theme="0" tint="-4.9989318521683403E-2"/>
      <name val="Berlin Sans FB Dem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Webdings"/>
      <family val="1"/>
      <charset val="2"/>
    </font>
    <font>
      <sz val="10"/>
      <name val="Arial"/>
    </font>
    <font>
      <b/>
      <sz val="8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u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202124"/>
      <name val="Arial"/>
      <family val="2"/>
    </font>
    <font>
      <b/>
      <sz val="12"/>
      <name val="Berlin Sans FB Dem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indexed="8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2"/>
      <color indexed="8"/>
      <name val="Calibri"/>
      <family val="2"/>
    </font>
    <font>
      <sz val="8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1" fillId="0" borderId="0"/>
    <xf numFmtId="0" fontId="13" fillId="0" borderId="0"/>
    <xf numFmtId="0" fontId="16" fillId="0" borderId="0"/>
    <xf numFmtId="0" fontId="17" fillId="0" borderId="0">
      <alignment horizontal="center"/>
    </xf>
    <xf numFmtId="0" fontId="17" fillId="0" borderId="0">
      <alignment horizontal="center" textRotation="90"/>
    </xf>
    <xf numFmtId="0" fontId="18" fillId="0" borderId="0"/>
    <xf numFmtId="0" fontId="18" fillId="0" borderId="0"/>
  </cellStyleXfs>
  <cellXfs count="138">
    <xf numFmtId="0" fontId="0" fillId="0" borderId="0" xfId="0"/>
    <xf numFmtId="0" fontId="0" fillId="0" borderId="1" xfId="0" applyBorder="1"/>
    <xf numFmtId="0" fontId="3" fillId="0" borderId="0" xfId="0" applyFont="1"/>
    <xf numFmtId="0" fontId="0" fillId="2" borderId="0" xfId="0" applyFill="1"/>
    <xf numFmtId="0" fontId="3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2" borderId="0" xfId="0" applyFill="1" applyAlignment="1">
      <alignment horizontal="center" vertical="center"/>
    </xf>
    <xf numFmtId="0" fontId="3" fillId="3" borderId="1" xfId="0" applyFont="1" applyFill="1" applyBorder="1"/>
    <xf numFmtId="0" fontId="3" fillId="3" borderId="6" xfId="0" applyFont="1" applyFill="1" applyBorder="1"/>
    <xf numFmtId="0" fontId="3" fillId="3" borderId="1" xfId="0" applyFont="1" applyFill="1" applyBorder="1" applyAlignment="1">
      <alignment horizontal="right"/>
    </xf>
    <xf numFmtId="0" fontId="0" fillId="3" borderId="1" xfId="0" applyFill="1" applyBorder="1"/>
    <xf numFmtId="0" fontId="0" fillId="3" borderId="6" xfId="0" applyFill="1" applyBorder="1"/>
    <xf numFmtId="0" fontId="0" fillId="3" borderId="1" xfId="0" applyFill="1" applyBorder="1" applyAlignment="1">
      <alignment horizontal="center" vertical="center"/>
    </xf>
    <xf numFmtId="0" fontId="3" fillId="2" borderId="0" xfId="0" applyFont="1" applyFill="1"/>
    <xf numFmtId="0" fontId="7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6" xfId="0" applyFont="1" applyFill="1" applyBorder="1"/>
    <xf numFmtId="0" fontId="0" fillId="2" borderId="3" xfId="0" applyFill="1" applyBorder="1" applyAlignment="1">
      <alignment horizontal="center" vertical="center"/>
    </xf>
    <xf numFmtId="0" fontId="0" fillId="0" borderId="3" xfId="0" applyBorder="1"/>
    <xf numFmtId="0" fontId="8" fillId="0" borderId="1" xfId="0" applyFont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5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0" xfId="1"/>
    <xf numFmtId="0" fontId="11" fillId="0" borderId="1" xfId="1" applyBorder="1" applyAlignment="1">
      <alignment wrapText="1"/>
    </xf>
    <xf numFmtId="0" fontId="11" fillId="0" borderId="0" xfId="1" applyAlignment="1">
      <alignment wrapText="1"/>
    </xf>
    <xf numFmtId="164" fontId="11" fillId="0" borderId="0" xfId="1" applyNumberFormat="1" applyAlignment="1">
      <alignment wrapText="1"/>
    </xf>
    <xf numFmtId="0" fontId="12" fillId="0" borderId="1" xfId="1" applyFont="1" applyBorder="1" applyAlignment="1">
      <alignment horizontal="left" wrapText="1"/>
    </xf>
    <xf numFmtId="0" fontId="12" fillId="2" borderId="1" xfId="1" applyFont="1" applyFill="1" applyBorder="1" applyAlignment="1">
      <alignment horizontal="left" wrapText="1"/>
    </xf>
    <xf numFmtId="164" fontId="12" fillId="0" borderId="1" xfId="1" applyNumberFormat="1" applyFont="1" applyBorder="1" applyAlignment="1">
      <alignment horizontal="left" wrapText="1"/>
    </xf>
    <xf numFmtId="164" fontId="12" fillId="2" borderId="1" xfId="1" applyNumberFormat="1" applyFont="1" applyFill="1" applyBorder="1" applyAlignment="1">
      <alignment horizontal="left" wrapText="1"/>
    </xf>
    <xf numFmtId="0" fontId="12" fillId="0" borderId="1" xfId="1" applyFont="1" applyBorder="1" applyAlignment="1">
      <alignment horizontal="left"/>
    </xf>
    <xf numFmtId="0" fontId="12" fillId="0" borderId="0" xfId="1" applyFont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4" fillId="2" borderId="0" xfId="2" applyFont="1" applyFill="1" applyAlignment="1">
      <alignment horizontal="center"/>
    </xf>
    <xf numFmtId="0" fontId="14" fillId="2" borderId="1" xfId="2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4" fillId="2" borderId="1" xfId="2" applyFont="1" applyFill="1" applyBorder="1" applyAlignment="1">
      <alignment horizontal="center"/>
    </xf>
    <xf numFmtId="0" fontId="14" fillId="2" borderId="6" xfId="2" applyFont="1" applyFill="1" applyBorder="1" applyAlignment="1">
      <alignment horizontal="center" vertical="center"/>
    </xf>
    <xf numFmtId="0" fontId="14" fillId="2" borderId="0" xfId="2" applyFont="1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0" fillId="2" borderId="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4" borderId="0" xfId="0" applyFont="1" applyFill="1" applyAlignment="1">
      <alignment wrapText="1"/>
    </xf>
    <xf numFmtId="0" fontId="6" fillId="4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/>
    </xf>
    <xf numFmtId="0" fontId="0" fillId="0" borderId="8" xfId="0" applyBorder="1" applyAlignment="1">
      <alignment wrapText="1"/>
    </xf>
    <xf numFmtId="0" fontId="19" fillId="3" borderId="1" xfId="0" applyFont="1" applyFill="1" applyBorder="1"/>
    <xf numFmtId="0" fontId="19" fillId="0" borderId="1" xfId="0" applyFont="1" applyBorder="1"/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6" borderId="6" xfId="0" applyFont="1" applyFill="1" applyBorder="1"/>
    <xf numFmtId="0" fontId="20" fillId="2" borderId="0" xfId="0" applyFont="1" applyFill="1" applyAlignment="1">
      <alignment horizontal="center" wrapText="1"/>
    </xf>
    <xf numFmtId="0" fontId="19" fillId="5" borderId="1" xfId="0" applyFont="1" applyFill="1" applyBorder="1"/>
    <xf numFmtId="0" fontId="0" fillId="5" borderId="0" xfId="0" applyFill="1"/>
    <xf numFmtId="0" fontId="0" fillId="5" borderId="1" xfId="0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9" fillId="0" borderId="0" xfId="0" applyFont="1"/>
    <xf numFmtId="0" fontId="21" fillId="0" borderId="0" xfId="0" applyFont="1"/>
    <xf numFmtId="0" fontId="9" fillId="0" borderId="0" xfId="0" applyFont="1" applyAlignment="1">
      <alignment horizontal="center" vertical="center"/>
    </xf>
    <xf numFmtId="0" fontId="22" fillId="0" borderId="0" xfId="0" applyFont="1"/>
    <xf numFmtId="0" fontId="2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2" fontId="27" fillId="0" borderId="1" xfId="0" applyNumberFormat="1" applyFont="1" applyBorder="1" applyAlignment="1">
      <alignment horizontal="right"/>
    </xf>
    <xf numFmtId="2" fontId="28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center"/>
    </xf>
    <xf numFmtId="2" fontId="29" fillId="0" borderId="1" xfId="0" applyNumberFormat="1" applyFont="1" applyBorder="1" applyAlignment="1">
      <alignment horizontal="right"/>
    </xf>
    <xf numFmtId="14" fontId="26" fillId="0" borderId="1" xfId="0" applyNumberFormat="1" applyFont="1" applyBorder="1" applyAlignment="1">
      <alignment horizontal="center"/>
    </xf>
    <xf numFmtId="0" fontId="26" fillId="0" borderId="1" xfId="0" applyFont="1" applyBorder="1"/>
    <xf numFmtId="2" fontId="26" fillId="0" borderId="1" xfId="0" applyNumberFormat="1" applyFont="1" applyBorder="1"/>
    <xf numFmtId="2" fontId="29" fillId="0" borderId="1" xfId="0" applyNumberFormat="1" applyFont="1" applyBorder="1"/>
    <xf numFmtId="0" fontId="30" fillId="0" borderId="1" xfId="0" applyFont="1" applyBorder="1" applyAlignment="1">
      <alignment horizontal="center"/>
    </xf>
    <xf numFmtId="2" fontId="30" fillId="0" borderId="1" xfId="0" applyNumberFormat="1" applyFont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  <xf numFmtId="0" fontId="26" fillId="0" borderId="0" xfId="0" applyFont="1" applyAlignment="1">
      <alignment vertical="center"/>
    </xf>
    <xf numFmtId="2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/>
    </xf>
    <xf numFmtId="2" fontId="0" fillId="5" borderId="0" xfId="0" applyNumberForma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 wrapText="1"/>
    </xf>
    <xf numFmtId="0" fontId="21" fillId="0" borderId="0" xfId="0" applyFont="1" applyAlignment="1">
      <alignment horizontal="left" vertical="center"/>
    </xf>
    <xf numFmtId="0" fontId="14" fillId="2" borderId="0" xfId="0" applyFont="1" applyFill="1" applyAlignment="1">
      <alignment horizontal="center" wrapText="1"/>
    </xf>
  </cellXfs>
  <cellStyles count="8">
    <cellStyle name="Excel Built-in Normal" xfId="3" xr:uid="{00000000-0005-0000-0000-000000000000}"/>
    <cellStyle name="Heading" xfId="4" xr:uid="{00000000-0005-0000-0000-000001000000}"/>
    <cellStyle name="Heading1" xfId="5" xr:uid="{00000000-0005-0000-0000-000002000000}"/>
    <cellStyle name="Normal" xfId="0" builtinId="0"/>
    <cellStyle name="Normal 2" xfId="1" xr:uid="{00000000-0005-0000-0000-000004000000}"/>
    <cellStyle name="Normal 2 2" xfId="2" xr:uid="{00000000-0005-0000-0000-000005000000}"/>
    <cellStyle name="Result" xfId="6" xr:uid="{00000000-0005-0000-0000-000006000000}"/>
    <cellStyle name="Result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image" Target="../media/image5.jpeg"/><Relationship Id="rId7" Type="http://schemas.openxmlformats.org/officeDocument/2006/relationships/image" Target="../media/image9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0.jpeg"/><Relationship Id="rId4" Type="http://schemas.openxmlformats.org/officeDocument/2006/relationships/image" Target="../media/image1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10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152400</xdr:rowOff>
    </xdr:from>
    <xdr:to>
      <xdr:col>3</xdr:col>
      <xdr:colOff>400050</xdr:colOff>
      <xdr:row>1</xdr:row>
      <xdr:rowOff>266700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4095750" y="533400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523876</xdr:colOff>
      <xdr:row>0</xdr:row>
      <xdr:rowOff>306232</xdr:rowOff>
    </xdr:from>
    <xdr:to>
      <xdr:col>4</xdr:col>
      <xdr:colOff>295275</xdr:colOff>
      <xdr:row>2</xdr:row>
      <xdr:rowOff>342899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9126" y="306232"/>
          <a:ext cx="1171574" cy="79866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161925</xdr:colOff>
      <xdr:row>2</xdr:row>
      <xdr:rowOff>219075</xdr:rowOff>
    </xdr:from>
    <xdr:to>
      <xdr:col>3</xdr:col>
      <xdr:colOff>371475</xdr:colOff>
      <xdr:row>2</xdr:row>
      <xdr:rowOff>333375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4067175" y="9810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</xdr:colOff>
      <xdr:row>3</xdr:row>
      <xdr:rowOff>400050</xdr:rowOff>
    </xdr:from>
    <xdr:to>
      <xdr:col>4</xdr:col>
      <xdr:colOff>495300</xdr:colOff>
      <xdr:row>3</xdr:row>
      <xdr:rowOff>552450</xdr:rowOff>
    </xdr:to>
    <xdr:sp macro="" textlink="">
      <xdr:nvSpPr>
        <xdr:cNvPr id="5" name="Left Arrow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5362575" y="1619250"/>
          <a:ext cx="438150" cy="1524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</xdr:colOff>
      <xdr:row>4</xdr:row>
      <xdr:rowOff>381000</xdr:rowOff>
    </xdr:from>
    <xdr:to>
      <xdr:col>4</xdr:col>
      <xdr:colOff>495300</xdr:colOff>
      <xdr:row>4</xdr:row>
      <xdr:rowOff>552450</xdr:rowOff>
    </xdr:to>
    <xdr:sp macro="" textlink="">
      <xdr:nvSpPr>
        <xdr:cNvPr id="6" name="Left Arrow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5362575" y="2200275"/>
          <a:ext cx="438150" cy="1714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171450</xdr:colOff>
      <xdr:row>5</xdr:row>
      <xdr:rowOff>85725</xdr:rowOff>
    </xdr:from>
    <xdr:to>
      <xdr:col>3</xdr:col>
      <xdr:colOff>581025</xdr:colOff>
      <xdr:row>5</xdr:row>
      <xdr:rowOff>352425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4076700" y="2524125"/>
          <a:ext cx="409575" cy="266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295274</xdr:colOff>
      <xdr:row>5</xdr:row>
      <xdr:rowOff>152400</xdr:rowOff>
    </xdr:from>
    <xdr:to>
      <xdr:col>3</xdr:col>
      <xdr:colOff>428625</xdr:colOff>
      <xdr:row>5</xdr:row>
      <xdr:rowOff>304799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4200524" y="2590800"/>
          <a:ext cx="133351" cy="152399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95250</xdr:colOff>
      <xdr:row>6</xdr:row>
      <xdr:rowOff>171449</xdr:rowOff>
    </xdr:from>
    <xdr:to>
      <xdr:col>4</xdr:col>
      <xdr:colOff>504825</xdr:colOff>
      <xdr:row>6</xdr:row>
      <xdr:rowOff>352424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5400675" y="3057524"/>
          <a:ext cx="409575" cy="1809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114300</xdr:colOff>
      <xdr:row>7</xdr:row>
      <xdr:rowOff>142875</xdr:rowOff>
    </xdr:from>
    <xdr:to>
      <xdr:col>4</xdr:col>
      <xdr:colOff>552450</xdr:colOff>
      <xdr:row>7</xdr:row>
      <xdr:rowOff>314325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5419725" y="3600450"/>
          <a:ext cx="438150" cy="1714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156883</xdr:colOff>
      <xdr:row>8</xdr:row>
      <xdr:rowOff>100853</xdr:rowOff>
    </xdr:from>
    <xdr:to>
      <xdr:col>3</xdr:col>
      <xdr:colOff>1131795</xdr:colOff>
      <xdr:row>8</xdr:row>
      <xdr:rowOff>765137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2133" y="4129928"/>
          <a:ext cx="974912" cy="66428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69477</xdr:colOff>
      <xdr:row>1</xdr:row>
      <xdr:rowOff>342901</xdr:rowOff>
    </xdr:from>
    <xdr:to>
      <xdr:col>3</xdr:col>
      <xdr:colOff>457200</xdr:colOff>
      <xdr:row>1</xdr:row>
      <xdr:rowOff>542925</xdr:rowOff>
    </xdr:to>
    <xdr:sp macro="" textlink="">
      <xdr:nvSpPr>
        <xdr:cNvPr id="2" name="Lef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612652" y="838201"/>
          <a:ext cx="387723" cy="20002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123825</xdr:colOff>
      <xdr:row>1</xdr:row>
      <xdr:rowOff>114299</xdr:rowOff>
    </xdr:from>
    <xdr:to>
      <xdr:col>5</xdr:col>
      <xdr:colOff>590550</xdr:colOff>
      <xdr:row>1</xdr:row>
      <xdr:rowOff>542924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4324350" y="609599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285750</xdr:colOff>
      <xdr:row>1</xdr:row>
      <xdr:rowOff>228600</xdr:rowOff>
    </xdr:from>
    <xdr:to>
      <xdr:col>5</xdr:col>
      <xdr:colOff>428625</xdr:colOff>
      <xdr:row>1</xdr:row>
      <xdr:rowOff>419100</xdr:rowOff>
    </xdr:to>
    <xdr:sp macro="" textlink="">
      <xdr:nvSpPr>
        <xdr:cNvPr id="4" name="Up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486275" y="723900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6</xdr:col>
      <xdr:colOff>95250</xdr:colOff>
      <xdr:row>1</xdr:row>
      <xdr:rowOff>161924</xdr:rowOff>
    </xdr:from>
    <xdr:to>
      <xdr:col>6</xdr:col>
      <xdr:colOff>561975</xdr:colOff>
      <xdr:row>1</xdr:row>
      <xdr:rowOff>590549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4905375" y="657224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85725</xdr:colOff>
      <xdr:row>1</xdr:row>
      <xdr:rowOff>152399</xdr:rowOff>
    </xdr:from>
    <xdr:to>
      <xdr:col>7</xdr:col>
      <xdr:colOff>552450</xdr:colOff>
      <xdr:row>1</xdr:row>
      <xdr:rowOff>581024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505450" y="647699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95250</xdr:colOff>
      <xdr:row>1</xdr:row>
      <xdr:rowOff>123824</xdr:rowOff>
    </xdr:from>
    <xdr:to>
      <xdr:col>8</xdr:col>
      <xdr:colOff>561975</xdr:colOff>
      <xdr:row>1</xdr:row>
      <xdr:rowOff>552449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6124575" y="619124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295276</xdr:colOff>
      <xdr:row>1</xdr:row>
      <xdr:rowOff>66675</xdr:rowOff>
    </xdr:from>
    <xdr:to>
      <xdr:col>9</xdr:col>
      <xdr:colOff>609600</xdr:colOff>
      <xdr:row>1</xdr:row>
      <xdr:rowOff>342901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7086601" y="561975"/>
          <a:ext cx="314324" cy="27622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276225</xdr:colOff>
      <xdr:row>1</xdr:row>
      <xdr:rowOff>276225</xdr:rowOff>
    </xdr:from>
    <xdr:to>
      <xdr:col>6</xdr:col>
      <xdr:colOff>419100</xdr:colOff>
      <xdr:row>1</xdr:row>
      <xdr:rowOff>466725</xdr:rowOff>
    </xdr:to>
    <xdr:sp macro="" textlink="">
      <xdr:nvSpPr>
        <xdr:cNvPr id="9" name="Up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5086350" y="771525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247650</xdr:colOff>
      <xdr:row>1</xdr:row>
      <xdr:rowOff>276225</xdr:rowOff>
    </xdr:from>
    <xdr:to>
      <xdr:col>7</xdr:col>
      <xdr:colOff>390525</xdr:colOff>
      <xdr:row>1</xdr:row>
      <xdr:rowOff>466725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5667375" y="771525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8</xdr:col>
      <xdr:colOff>266700</xdr:colOff>
      <xdr:row>1</xdr:row>
      <xdr:rowOff>228600</xdr:rowOff>
    </xdr:from>
    <xdr:to>
      <xdr:col>8</xdr:col>
      <xdr:colOff>409575</xdr:colOff>
      <xdr:row>1</xdr:row>
      <xdr:rowOff>419100</xdr:rowOff>
    </xdr:to>
    <xdr:sp macro="" textlink="">
      <xdr:nvSpPr>
        <xdr:cNvPr id="11" name="Up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6296025" y="723900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9</xdr:col>
      <xdr:colOff>390525</xdr:colOff>
      <xdr:row>1</xdr:row>
      <xdr:rowOff>114300</xdr:rowOff>
    </xdr:from>
    <xdr:to>
      <xdr:col>9</xdr:col>
      <xdr:colOff>533400</xdr:colOff>
      <xdr:row>1</xdr:row>
      <xdr:rowOff>304800</xdr:rowOff>
    </xdr:to>
    <xdr:sp macro="" textlink="">
      <xdr:nvSpPr>
        <xdr:cNvPr id="12" name="Up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7181850" y="609600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4</xdr:col>
      <xdr:colOff>134485</xdr:colOff>
      <xdr:row>2</xdr:row>
      <xdr:rowOff>65555</xdr:rowOff>
    </xdr:from>
    <xdr:to>
      <xdr:col>4</xdr:col>
      <xdr:colOff>601210</xdr:colOff>
      <xdr:row>2</xdr:row>
      <xdr:rowOff>502145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9185" y="1322855"/>
          <a:ext cx="466725" cy="43659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56030</xdr:colOff>
      <xdr:row>2</xdr:row>
      <xdr:rowOff>212914</xdr:rowOff>
    </xdr:from>
    <xdr:to>
      <xdr:col>3</xdr:col>
      <xdr:colOff>484655</xdr:colOff>
      <xdr:row>2</xdr:row>
      <xdr:rowOff>336739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2610971" y="1759326"/>
          <a:ext cx="4286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245408</xdr:colOff>
      <xdr:row>4</xdr:row>
      <xdr:rowOff>172570</xdr:rowOff>
    </xdr:from>
    <xdr:to>
      <xdr:col>4</xdr:col>
      <xdr:colOff>388283</xdr:colOff>
      <xdr:row>4</xdr:row>
      <xdr:rowOff>363070</xdr:rowOff>
    </xdr:to>
    <xdr:sp macro="" textlink="">
      <xdr:nvSpPr>
        <xdr:cNvPr id="15" name="Up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3338232" y="2861982"/>
          <a:ext cx="142875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129429</xdr:colOff>
      <xdr:row>4</xdr:row>
      <xdr:rowOff>103652</xdr:rowOff>
    </xdr:from>
    <xdr:to>
      <xdr:col>4</xdr:col>
      <xdr:colOff>493059</xdr:colOff>
      <xdr:row>4</xdr:row>
      <xdr:rowOff>425823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3222253" y="2793064"/>
          <a:ext cx="363630" cy="32217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235323</xdr:colOff>
      <xdr:row>4</xdr:row>
      <xdr:rowOff>179293</xdr:rowOff>
    </xdr:from>
    <xdr:to>
      <xdr:col>4</xdr:col>
      <xdr:colOff>403411</xdr:colOff>
      <xdr:row>4</xdr:row>
      <xdr:rowOff>369793</xdr:rowOff>
    </xdr:to>
    <xdr:sp macro="" textlink="">
      <xdr:nvSpPr>
        <xdr:cNvPr id="17" name="Up Arrow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3328147" y="2868705"/>
          <a:ext cx="168088" cy="1905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5</xdr:col>
      <xdr:colOff>89645</xdr:colOff>
      <xdr:row>4</xdr:row>
      <xdr:rowOff>45234</xdr:rowOff>
    </xdr:from>
    <xdr:to>
      <xdr:col>5</xdr:col>
      <xdr:colOff>672352</xdr:colOff>
      <xdr:row>5</xdr:row>
      <xdr:rowOff>22413</xdr:rowOff>
    </xdr:to>
    <xdr:pic>
      <xdr:nvPicPr>
        <xdr:cNvPr id="18" name="Picture 17" descr="Odomete.jpg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33263" y="2734646"/>
          <a:ext cx="582707" cy="45903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5</xdr:col>
      <xdr:colOff>96368</xdr:colOff>
      <xdr:row>5</xdr:row>
      <xdr:rowOff>63164</xdr:rowOff>
    </xdr:from>
    <xdr:to>
      <xdr:col>5</xdr:col>
      <xdr:colOff>679075</xdr:colOff>
      <xdr:row>6</xdr:row>
      <xdr:rowOff>17932</xdr:rowOff>
    </xdr:to>
    <xdr:pic>
      <xdr:nvPicPr>
        <xdr:cNvPr id="19" name="Picture 18" descr="Odomete.jpg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39986" y="3335282"/>
          <a:ext cx="582707" cy="45903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88527</xdr:colOff>
      <xdr:row>5</xdr:row>
      <xdr:rowOff>94128</xdr:rowOff>
    </xdr:from>
    <xdr:to>
      <xdr:col>4</xdr:col>
      <xdr:colOff>555252</xdr:colOff>
      <xdr:row>5</xdr:row>
      <xdr:rowOff>522753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3181351" y="3366246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246528</xdr:colOff>
      <xdr:row>5</xdr:row>
      <xdr:rowOff>224118</xdr:rowOff>
    </xdr:from>
    <xdr:to>
      <xdr:col>4</xdr:col>
      <xdr:colOff>392205</xdr:colOff>
      <xdr:row>5</xdr:row>
      <xdr:rowOff>381000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3339352" y="3496236"/>
          <a:ext cx="145677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5</xdr:col>
      <xdr:colOff>123265</xdr:colOff>
      <xdr:row>6</xdr:row>
      <xdr:rowOff>11205</xdr:rowOff>
    </xdr:from>
    <xdr:to>
      <xdr:col>5</xdr:col>
      <xdr:colOff>606196</xdr:colOff>
      <xdr:row>7</xdr:row>
      <xdr:rowOff>78440</xdr:rowOff>
    </xdr:to>
    <xdr:pic>
      <xdr:nvPicPr>
        <xdr:cNvPr id="23" name="Picture 22" descr="calcu.jp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966883" y="3866029"/>
          <a:ext cx="482931" cy="51547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179293</xdr:colOff>
      <xdr:row>6</xdr:row>
      <xdr:rowOff>156881</xdr:rowOff>
    </xdr:from>
    <xdr:to>
      <xdr:col>4</xdr:col>
      <xdr:colOff>593911</xdr:colOff>
      <xdr:row>6</xdr:row>
      <xdr:rowOff>380999</xdr:rowOff>
    </xdr:to>
    <xdr:sp macro="" textlink="">
      <xdr:nvSpPr>
        <xdr:cNvPr id="24" name="Left Arrow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3507440" y="3350557"/>
          <a:ext cx="414618" cy="22411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192741</xdr:colOff>
      <xdr:row>7</xdr:row>
      <xdr:rowOff>182096</xdr:rowOff>
    </xdr:from>
    <xdr:to>
      <xdr:col>4</xdr:col>
      <xdr:colOff>607359</xdr:colOff>
      <xdr:row>7</xdr:row>
      <xdr:rowOff>406214</xdr:rowOff>
    </xdr:to>
    <xdr:sp macro="" textlink="">
      <xdr:nvSpPr>
        <xdr:cNvPr id="25" name="Left Arrow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3520888" y="3824008"/>
          <a:ext cx="414618" cy="22411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189379</xdr:colOff>
      <xdr:row>8</xdr:row>
      <xdr:rowOff>164166</xdr:rowOff>
    </xdr:from>
    <xdr:to>
      <xdr:col>4</xdr:col>
      <xdr:colOff>603997</xdr:colOff>
      <xdr:row>8</xdr:row>
      <xdr:rowOff>388284</xdr:rowOff>
    </xdr:to>
    <xdr:sp macro="" textlink="">
      <xdr:nvSpPr>
        <xdr:cNvPr id="26" name="Left Arrow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3504079" y="4802841"/>
          <a:ext cx="414618" cy="224118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3</xdr:col>
      <xdr:colOff>53787</xdr:colOff>
      <xdr:row>9</xdr:row>
      <xdr:rowOff>85620</xdr:rowOff>
    </xdr:from>
    <xdr:to>
      <xdr:col>3</xdr:col>
      <xdr:colOff>457201</xdr:colOff>
      <xdr:row>9</xdr:row>
      <xdr:rowOff>403413</xdr:rowOff>
    </xdr:to>
    <xdr:pic>
      <xdr:nvPicPr>
        <xdr:cNvPr id="27" name="Picture 26" descr="Odomete.jpg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35087" y="5305320"/>
          <a:ext cx="403414" cy="31779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123825</xdr:colOff>
      <xdr:row>9</xdr:row>
      <xdr:rowOff>45092</xdr:rowOff>
    </xdr:from>
    <xdr:to>
      <xdr:col>2</xdr:col>
      <xdr:colOff>938893</xdr:colOff>
      <xdr:row>10</xdr:row>
      <xdr:rowOff>66114</xdr:rowOff>
    </xdr:to>
    <xdr:pic>
      <xdr:nvPicPr>
        <xdr:cNvPr id="28" name="Picture 27" descr="petrol bill.png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9146" y="4793985"/>
          <a:ext cx="815068" cy="47005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133351</xdr:colOff>
      <xdr:row>9</xdr:row>
      <xdr:rowOff>80121</xdr:rowOff>
    </xdr:from>
    <xdr:to>
      <xdr:col>4</xdr:col>
      <xdr:colOff>600076</xdr:colOff>
      <xdr:row>9</xdr:row>
      <xdr:rowOff>508746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3448051" y="5299821"/>
          <a:ext cx="466725" cy="4286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247650</xdr:colOff>
      <xdr:row>9</xdr:row>
      <xdr:rowOff>180975</xdr:rowOff>
    </xdr:from>
    <xdr:to>
      <xdr:col>4</xdr:col>
      <xdr:colOff>457200</xdr:colOff>
      <xdr:row>9</xdr:row>
      <xdr:rowOff>400050</xdr:rowOff>
    </xdr:to>
    <xdr:sp macro="" textlink="">
      <xdr:nvSpPr>
        <xdr:cNvPr id="31" name="Up Arrow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3562350" y="5400675"/>
          <a:ext cx="209550" cy="21907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2</xdr:col>
      <xdr:colOff>161926</xdr:colOff>
      <xdr:row>10</xdr:row>
      <xdr:rowOff>173959</xdr:rowOff>
    </xdr:from>
    <xdr:to>
      <xdr:col>2</xdr:col>
      <xdr:colOff>857250</xdr:colOff>
      <xdr:row>11</xdr:row>
      <xdr:rowOff>392205</xdr:rowOff>
    </xdr:to>
    <xdr:pic>
      <xdr:nvPicPr>
        <xdr:cNvPr id="32" name="Picture 31" descr="servbill.png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7247" y="5371888"/>
          <a:ext cx="695324" cy="80335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979955</xdr:colOff>
      <xdr:row>10</xdr:row>
      <xdr:rowOff>373715</xdr:rowOff>
    </xdr:from>
    <xdr:to>
      <xdr:col>5</xdr:col>
      <xdr:colOff>666751</xdr:colOff>
      <xdr:row>11</xdr:row>
      <xdr:rowOff>76199</xdr:rowOff>
    </xdr:to>
    <xdr:sp macro="" textlink="">
      <xdr:nvSpPr>
        <xdr:cNvPr id="33" name="Left Arrow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4294655" y="5555315"/>
          <a:ext cx="696446" cy="2835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3</xdr:col>
      <xdr:colOff>72837</xdr:colOff>
      <xdr:row>10</xdr:row>
      <xdr:rowOff>123720</xdr:rowOff>
    </xdr:from>
    <xdr:to>
      <xdr:col>4</xdr:col>
      <xdr:colOff>89453</xdr:colOff>
      <xdr:row>11</xdr:row>
      <xdr:rowOff>212911</xdr:rowOff>
    </xdr:to>
    <xdr:pic>
      <xdr:nvPicPr>
        <xdr:cNvPr id="34" name="Picture 33" descr="Odomete.jpg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63102" y="5300838"/>
          <a:ext cx="554498" cy="67189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133351</xdr:colOff>
      <xdr:row>12</xdr:row>
      <xdr:rowOff>40420</xdr:rowOff>
    </xdr:from>
    <xdr:to>
      <xdr:col>2</xdr:col>
      <xdr:colOff>952501</xdr:colOff>
      <xdr:row>13</xdr:row>
      <xdr:rowOff>523874</xdr:rowOff>
    </xdr:to>
    <xdr:pic>
      <xdr:nvPicPr>
        <xdr:cNvPr id="35" name="Picture 34" descr="servbill.png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5476" y="7003195"/>
          <a:ext cx="819150" cy="106447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139511</xdr:colOff>
      <xdr:row>12</xdr:row>
      <xdr:rowOff>171345</xdr:rowOff>
    </xdr:from>
    <xdr:to>
      <xdr:col>4</xdr:col>
      <xdr:colOff>271264</xdr:colOff>
      <xdr:row>13</xdr:row>
      <xdr:rowOff>400050</xdr:rowOff>
    </xdr:to>
    <xdr:pic>
      <xdr:nvPicPr>
        <xdr:cNvPr id="36" name="Picture 35" descr="Odomete.jpg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20811" y="7134120"/>
          <a:ext cx="665153" cy="80973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5</xdr:col>
      <xdr:colOff>2801</xdr:colOff>
      <xdr:row>12</xdr:row>
      <xdr:rowOff>333373</xdr:rowOff>
    </xdr:from>
    <xdr:to>
      <xdr:col>5</xdr:col>
      <xdr:colOff>694765</xdr:colOff>
      <xdr:row>13</xdr:row>
      <xdr:rowOff>34176</xdr:rowOff>
    </xdr:to>
    <xdr:sp macro="" textlink="">
      <xdr:nvSpPr>
        <xdr:cNvPr id="37" name="Left Arrow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4339477" y="6675902"/>
          <a:ext cx="691964" cy="2835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2</xdr:col>
      <xdr:colOff>57152</xdr:colOff>
      <xdr:row>14</xdr:row>
      <xdr:rowOff>47625</xdr:rowOff>
    </xdr:from>
    <xdr:to>
      <xdr:col>2</xdr:col>
      <xdr:colOff>914400</xdr:colOff>
      <xdr:row>15</xdr:row>
      <xdr:rowOff>523874</xdr:rowOff>
    </xdr:to>
    <xdr:pic>
      <xdr:nvPicPr>
        <xdr:cNvPr id="1025" name="Picture 1" descr="National Highways Authority Of India [NHAI] — toll receipt does not contain  car registration number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819277" y="8172450"/>
          <a:ext cx="857248" cy="10572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8403</xdr:colOff>
      <xdr:row>14</xdr:row>
      <xdr:rowOff>316565</xdr:rowOff>
    </xdr:from>
    <xdr:to>
      <xdr:col>5</xdr:col>
      <xdr:colOff>552449</xdr:colOff>
      <xdr:row>15</xdr:row>
      <xdr:rowOff>19049</xdr:rowOff>
    </xdr:to>
    <xdr:sp macro="" textlink="">
      <xdr:nvSpPr>
        <xdr:cNvPr id="38" name="Left Arrow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3323103" y="8441390"/>
          <a:ext cx="1296521" cy="28350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67236</xdr:colOff>
      <xdr:row>3</xdr:row>
      <xdr:rowOff>179297</xdr:rowOff>
    </xdr:from>
    <xdr:to>
      <xdr:col>3</xdr:col>
      <xdr:colOff>495861</xdr:colOff>
      <xdr:row>3</xdr:row>
      <xdr:rowOff>303122</xdr:rowOff>
    </xdr:to>
    <xdr:sp macro="" textlink="">
      <xdr:nvSpPr>
        <xdr:cNvPr id="39" name="Right Arrow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2857501" y="2106709"/>
          <a:ext cx="4286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57150</xdr:colOff>
      <xdr:row>0</xdr:row>
      <xdr:rowOff>47625</xdr:rowOff>
    </xdr:from>
    <xdr:to>
      <xdr:col>2</xdr:col>
      <xdr:colOff>429240</xdr:colOff>
      <xdr:row>0</xdr:row>
      <xdr:rowOff>381000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47625"/>
          <a:ext cx="838815" cy="33337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276786</xdr:colOff>
      <xdr:row>10</xdr:row>
      <xdr:rowOff>335614</xdr:rowOff>
    </xdr:from>
    <xdr:to>
      <xdr:col>4</xdr:col>
      <xdr:colOff>743511</xdr:colOff>
      <xdr:row>11</xdr:row>
      <xdr:rowOff>124383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3604933" y="5512732"/>
          <a:ext cx="466725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417980</xdr:colOff>
      <xdr:row>12</xdr:row>
      <xdr:rowOff>286309</xdr:rowOff>
    </xdr:from>
    <xdr:to>
      <xdr:col>4</xdr:col>
      <xdr:colOff>884705</xdr:colOff>
      <xdr:row>13</xdr:row>
      <xdr:rowOff>75078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3746127" y="6628838"/>
          <a:ext cx="466725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43704</xdr:colOff>
      <xdr:row>14</xdr:row>
      <xdr:rowOff>203385</xdr:rowOff>
    </xdr:from>
    <xdr:to>
      <xdr:col>3</xdr:col>
      <xdr:colOff>510429</xdr:colOff>
      <xdr:row>14</xdr:row>
      <xdr:rowOff>574860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2833969" y="7711326"/>
          <a:ext cx="466725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448235</xdr:colOff>
      <xdr:row>10</xdr:row>
      <xdr:rowOff>437029</xdr:rowOff>
    </xdr:from>
    <xdr:to>
      <xdr:col>4</xdr:col>
      <xdr:colOff>616324</xdr:colOff>
      <xdr:row>11</xdr:row>
      <xdr:rowOff>11205</xdr:rowOff>
    </xdr:to>
    <xdr:sp macro="" textlink="">
      <xdr:nvSpPr>
        <xdr:cNvPr id="46" name="Up Arrow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3776382" y="5614147"/>
          <a:ext cx="168089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4</xdr:col>
      <xdr:colOff>533399</xdr:colOff>
      <xdr:row>12</xdr:row>
      <xdr:rowOff>398929</xdr:rowOff>
    </xdr:from>
    <xdr:to>
      <xdr:col>4</xdr:col>
      <xdr:colOff>701488</xdr:colOff>
      <xdr:row>12</xdr:row>
      <xdr:rowOff>555811</xdr:rowOff>
    </xdr:to>
    <xdr:sp macro="" textlink="">
      <xdr:nvSpPr>
        <xdr:cNvPr id="47" name="Up Arrow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>
          <a:off x="3861546" y="6741458"/>
          <a:ext cx="168089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181534</xdr:colOff>
      <xdr:row>14</xdr:row>
      <xdr:rowOff>316005</xdr:rowOff>
    </xdr:from>
    <xdr:to>
      <xdr:col>3</xdr:col>
      <xdr:colOff>349623</xdr:colOff>
      <xdr:row>14</xdr:row>
      <xdr:rowOff>472887</xdr:rowOff>
    </xdr:to>
    <xdr:sp macro="" textlink="">
      <xdr:nvSpPr>
        <xdr:cNvPr id="48" name="Up Arrow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2971799" y="7823946"/>
          <a:ext cx="168089" cy="156882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5</xdr:col>
      <xdr:colOff>419100</xdr:colOff>
      <xdr:row>2</xdr:row>
      <xdr:rowOff>123825</xdr:rowOff>
    </xdr:from>
    <xdr:to>
      <xdr:col>9</xdr:col>
      <xdr:colOff>504825</xdr:colOff>
      <xdr:row>2</xdr:row>
      <xdr:rowOff>142875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 flipV="1">
          <a:off x="4743450" y="1381125"/>
          <a:ext cx="3362325" cy="1905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76200</xdr:rowOff>
    </xdr:from>
    <xdr:to>
      <xdr:col>2</xdr:col>
      <xdr:colOff>400050</xdr:colOff>
      <xdr:row>0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" y="76200"/>
          <a:ext cx="904875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238125</xdr:colOff>
      <xdr:row>11</xdr:row>
      <xdr:rowOff>85725</xdr:rowOff>
    </xdr:from>
    <xdr:to>
      <xdr:col>3</xdr:col>
      <xdr:colOff>672042</xdr:colOff>
      <xdr:row>11</xdr:row>
      <xdr:rowOff>350309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2066925" y="2181225"/>
          <a:ext cx="367242" cy="10265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409575</xdr:colOff>
      <xdr:row>11</xdr:row>
      <xdr:rowOff>152400</xdr:rowOff>
    </xdr:from>
    <xdr:to>
      <xdr:col>3</xdr:col>
      <xdr:colOff>536575</xdr:colOff>
      <xdr:row>11</xdr:row>
      <xdr:rowOff>279400</xdr:rowOff>
    </xdr:to>
    <xdr:sp macro="" textlink="">
      <xdr:nvSpPr>
        <xdr:cNvPr id="4" name="Up Arrow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2238375" y="2247900"/>
          <a:ext cx="127000" cy="4127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66677</xdr:colOff>
      <xdr:row>0</xdr:row>
      <xdr:rowOff>47626</xdr:rowOff>
    </xdr:from>
    <xdr:to>
      <xdr:col>2</xdr:col>
      <xdr:colOff>472169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7" y="47626"/>
          <a:ext cx="672192" cy="295274"/>
        </a:xfrm>
        <a:prstGeom prst="rect">
          <a:avLst/>
        </a:prstGeom>
      </xdr:spPr>
    </xdr:pic>
    <xdr:clientData/>
  </xdr:twoCellAnchor>
  <xdr:twoCellAnchor editAs="oneCell">
    <xdr:from>
      <xdr:col>3</xdr:col>
      <xdr:colOff>653144</xdr:colOff>
      <xdr:row>0</xdr:row>
      <xdr:rowOff>0</xdr:rowOff>
    </xdr:from>
    <xdr:to>
      <xdr:col>3</xdr:col>
      <xdr:colOff>1243693</xdr:colOff>
      <xdr:row>2</xdr:row>
      <xdr:rowOff>259442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1537" y="0"/>
          <a:ext cx="590549" cy="64044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557894</xdr:colOff>
      <xdr:row>11</xdr:row>
      <xdr:rowOff>17293</xdr:rowOff>
    </xdr:from>
    <xdr:to>
      <xdr:col>3</xdr:col>
      <xdr:colOff>1157968</xdr:colOff>
      <xdr:row>11</xdr:row>
      <xdr:rowOff>585106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6287" y="3405472"/>
          <a:ext cx="600074" cy="56781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809625</xdr:colOff>
      <xdr:row>14</xdr:row>
      <xdr:rowOff>87566</xdr:rowOff>
    </xdr:from>
    <xdr:to>
      <xdr:col>3</xdr:col>
      <xdr:colOff>1266825</xdr:colOff>
      <xdr:row>14</xdr:row>
      <xdr:rowOff>520187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4888166"/>
          <a:ext cx="457200" cy="43262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219075</xdr:colOff>
      <xdr:row>2</xdr:row>
      <xdr:rowOff>28575</xdr:rowOff>
    </xdr:from>
    <xdr:to>
      <xdr:col>3</xdr:col>
      <xdr:colOff>428625</xdr:colOff>
      <xdr:row>2</xdr:row>
      <xdr:rowOff>142875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438775" y="6000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66675</xdr:colOff>
      <xdr:row>5</xdr:row>
      <xdr:rowOff>333375</xdr:rowOff>
    </xdr:from>
    <xdr:to>
      <xdr:col>4</xdr:col>
      <xdr:colOff>352425</xdr:colOff>
      <xdr:row>5</xdr:row>
      <xdr:rowOff>447675</xdr:rowOff>
    </xdr:to>
    <xdr:sp macro="" textlink="">
      <xdr:nvSpPr>
        <xdr:cNvPr id="7" name="Left Arrow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067425" y="1733550"/>
          <a:ext cx="28575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57150</xdr:colOff>
      <xdr:row>6</xdr:row>
      <xdr:rowOff>190500</xdr:rowOff>
    </xdr:from>
    <xdr:to>
      <xdr:col>4</xdr:col>
      <xdr:colOff>304800</xdr:colOff>
      <xdr:row>6</xdr:row>
      <xdr:rowOff>304800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057900" y="2190750"/>
          <a:ext cx="24765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85725</xdr:colOff>
      <xdr:row>7</xdr:row>
      <xdr:rowOff>276225</xdr:rowOff>
    </xdr:from>
    <xdr:to>
      <xdr:col>4</xdr:col>
      <xdr:colOff>304800</xdr:colOff>
      <xdr:row>7</xdr:row>
      <xdr:rowOff>390525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086475" y="2847975"/>
          <a:ext cx="219075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76200</xdr:colOff>
      <xdr:row>8</xdr:row>
      <xdr:rowOff>209550</xdr:rowOff>
    </xdr:from>
    <xdr:to>
      <xdr:col>4</xdr:col>
      <xdr:colOff>304800</xdr:colOff>
      <xdr:row>8</xdr:row>
      <xdr:rowOff>323850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6076950" y="3228975"/>
          <a:ext cx="22860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76199</xdr:colOff>
      <xdr:row>11</xdr:row>
      <xdr:rowOff>381000</xdr:rowOff>
    </xdr:from>
    <xdr:to>
      <xdr:col>4</xdr:col>
      <xdr:colOff>504824</xdr:colOff>
      <xdr:row>11</xdr:row>
      <xdr:rowOff>504825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6076949" y="4171950"/>
          <a:ext cx="428625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47625</xdr:colOff>
      <xdr:row>14</xdr:row>
      <xdr:rowOff>323850</xdr:rowOff>
    </xdr:from>
    <xdr:to>
      <xdr:col>4</xdr:col>
      <xdr:colOff>447675</xdr:colOff>
      <xdr:row>14</xdr:row>
      <xdr:rowOff>447675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6048375" y="5124450"/>
          <a:ext cx="400050" cy="1238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76200</xdr:colOff>
      <xdr:row>12</xdr:row>
      <xdr:rowOff>123825</xdr:rowOff>
    </xdr:from>
    <xdr:to>
      <xdr:col>4</xdr:col>
      <xdr:colOff>342900</xdr:colOff>
      <xdr:row>12</xdr:row>
      <xdr:rowOff>238125</xdr:rowOff>
    </xdr:to>
    <xdr:sp macro="" textlink="">
      <xdr:nvSpPr>
        <xdr:cNvPr id="13" name="Left Arrow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6076950" y="4648200"/>
          <a:ext cx="266700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18</xdr:row>
      <xdr:rowOff>219075</xdr:rowOff>
    </xdr:from>
    <xdr:to>
      <xdr:col>4</xdr:col>
      <xdr:colOff>552450</xdr:colOff>
      <xdr:row>18</xdr:row>
      <xdr:rowOff>333375</xdr:rowOff>
    </xdr:to>
    <xdr:sp macro="" textlink="">
      <xdr:nvSpPr>
        <xdr:cNvPr id="14" name="Left Arrow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6191250" y="7105650"/>
          <a:ext cx="276225" cy="1143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142875</xdr:colOff>
      <xdr:row>12</xdr:row>
      <xdr:rowOff>104775</xdr:rowOff>
    </xdr:from>
    <xdr:to>
      <xdr:col>6</xdr:col>
      <xdr:colOff>514350</xdr:colOff>
      <xdr:row>12</xdr:row>
      <xdr:rowOff>209550</xdr:rowOff>
    </xdr:to>
    <xdr:sp macro="" textlink="">
      <xdr:nvSpPr>
        <xdr:cNvPr id="22" name="Left Arrow Callou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924925" y="4076700"/>
          <a:ext cx="371475" cy="104775"/>
        </a:xfrm>
        <a:prstGeom prst="leftArrowCallou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390525</xdr:colOff>
      <xdr:row>13</xdr:row>
      <xdr:rowOff>19050</xdr:rowOff>
    </xdr:from>
    <xdr:to>
      <xdr:col>6</xdr:col>
      <xdr:colOff>390525</xdr:colOff>
      <xdr:row>18</xdr:row>
      <xdr:rowOff>161925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/>
      </xdr:nvCxnSpPr>
      <xdr:spPr>
        <a:xfrm>
          <a:off x="8401050" y="4810125"/>
          <a:ext cx="0" cy="2238375"/>
        </a:xfrm>
        <a:prstGeom prst="straightConnector1">
          <a:avLst/>
        </a:prstGeom>
        <a:ln>
          <a:headEnd type="arrow"/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123825</xdr:colOff>
      <xdr:row>18</xdr:row>
      <xdr:rowOff>209550</xdr:rowOff>
    </xdr:from>
    <xdr:to>
      <xdr:col>6</xdr:col>
      <xdr:colOff>504825</xdr:colOff>
      <xdr:row>18</xdr:row>
      <xdr:rowOff>323850</xdr:rowOff>
    </xdr:to>
    <xdr:sp macro="" textlink="">
      <xdr:nvSpPr>
        <xdr:cNvPr id="25" name="Left Arrow Callou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8905875" y="6238875"/>
          <a:ext cx="381000" cy="114300"/>
        </a:xfrm>
        <a:prstGeom prst="leftArrowCallou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990601</xdr:colOff>
      <xdr:row>3</xdr:row>
      <xdr:rowOff>152400</xdr:rowOff>
    </xdr:from>
    <xdr:to>
      <xdr:col>3</xdr:col>
      <xdr:colOff>1295400</xdr:colOff>
      <xdr:row>3</xdr:row>
      <xdr:rowOff>323850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5534026" y="1085850"/>
          <a:ext cx="304799" cy="1714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1104900</xdr:colOff>
      <xdr:row>3</xdr:row>
      <xdr:rowOff>190499</xdr:rowOff>
    </xdr:from>
    <xdr:to>
      <xdr:col>3</xdr:col>
      <xdr:colOff>1190625</xdr:colOff>
      <xdr:row>3</xdr:row>
      <xdr:rowOff>276224</xdr:rowOff>
    </xdr:to>
    <xdr:sp macro="" textlink="">
      <xdr:nvSpPr>
        <xdr:cNvPr id="27" name="Up Arrow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5648325" y="1123949"/>
          <a:ext cx="85725" cy="857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76200</xdr:rowOff>
    </xdr:from>
    <xdr:to>
      <xdr:col>2</xdr:col>
      <xdr:colOff>400050</xdr:colOff>
      <xdr:row>1</xdr:row>
      <xdr:rowOff>75640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ADA9-1374-4547-8B69-23DB8247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84935" y="76200"/>
          <a:ext cx="683895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52916</xdr:colOff>
      <xdr:row>4</xdr:row>
      <xdr:rowOff>190500</xdr:rowOff>
    </xdr:from>
    <xdr:to>
      <xdr:col>3</xdr:col>
      <xdr:colOff>262466</xdr:colOff>
      <xdr:row>4</xdr:row>
      <xdr:rowOff>304800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3710516" y="1400175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455087</xdr:colOff>
      <xdr:row>4</xdr:row>
      <xdr:rowOff>116417</xdr:rowOff>
    </xdr:from>
    <xdr:to>
      <xdr:col>3</xdr:col>
      <xdr:colOff>966898</xdr:colOff>
      <xdr:row>4</xdr:row>
      <xdr:rowOff>666751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2687" y="1326092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67737</xdr:colOff>
      <xdr:row>5</xdr:row>
      <xdr:rowOff>78301</xdr:rowOff>
    </xdr:from>
    <xdr:to>
      <xdr:col>3</xdr:col>
      <xdr:colOff>277287</xdr:colOff>
      <xdr:row>5</xdr:row>
      <xdr:rowOff>192601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3725337" y="2059501"/>
          <a:ext cx="2095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469904</xdr:colOff>
      <xdr:row>5</xdr:row>
      <xdr:rowOff>88901</xdr:rowOff>
    </xdr:from>
    <xdr:to>
      <xdr:col>3</xdr:col>
      <xdr:colOff>981715</xdr:colOff>
      <xdr:row>5</xdr:row>
      <xdr:rowOff>639235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504" y="2070101"/>
          <a:ext cx="511811" cy="55033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3</xdr:col>
      <xdr:colOff>285750</xdr:colOff>
      <xdr:row>7</xdr:row>
      <xdr:rowOff>74083</xdr:rowOff>
    </xdr:from>
    <xdr:to>
      <xdr:col>3</xdr:col>
      <xdr:colOff>719667</xdr:colOff>
      <xdr:row>7</xdr:row>
      <xdr:rowOff>338667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3943350" y="3407833"/>
          <a:ext cx="433917" cy="26458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455084</xdr:colOff>
      <xdr:row>7</xdr:row>
      <xdr:rowOff>137584</xdr:rowOff>
    </xdr:from>
    <xdr:to>
      <xdr:col>3</xdr:col>
      <xdr:colOff>582084</xdr:colOff>
      <xdr:row>7</xdr:row>
      <xdr:rowOff>264584</xdr:rowOff>
    </xdr:to>
    <xdr:sp macro="" textlink="">
      <xdr:nvSpPr>
        <xdr:cNvPr id="13" name="Up Arrow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4112684" y="3471334"/>
          <a:ext cx="127000" cy="1270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 editAs="oneCell">
    <xdr:from>
      <xdr:col>1</xdr:col>
      <xdr:colOff>85725</xdr:colOff>
      <xdr:row>0</xdr:row>
      <xdr:rowOff>57150</xdr:rowOff>
    </xdr:from>
    <xdr:to>
      <xdr:col>2</xdr:col>
      <xdr:colOff>180975</xdr:colOff>
      <xdr:row>1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28725" y="57150"/>
          <a:ext cx="66675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0</xdr:row>
      <xdr:rowOff>67236</xdr:rowOff>
    </xdr:from>
    <xdr:to>
      <xdr:col>2</xdr:col>
      <xdr:colOff>488258</xdr:colOff>
      <xdr:row>1</xdr:row>
      <xdr:rowOff>7845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9059" y="67236"/>
          <a:ext cx="835640" cy="400050"/>
        </a:xfrm>
        <a:prstGeom prst="rect">
          <a:avLst/>
        </a:prstGeom>
      </xdr:spPr>
    </xdr:pic>
    <xdr:clientData/>
  </xdr:twoCellAnchor>
  <xdr:twoCellAnchor>
    <xdr:from>
      <xdr:col>3</xdr:col>
      <xdr:colOff>537883</xdr:colOff>
      <xdr:row>10</xdr:row>
      <xdr:rowOff>212911</xdr:rowOff>
    </xdr:from>
    <xdr:to>
      <xdr:col>3</xdr:col>
      <xdr:colOff>852208</xdr:colOff>
      <xdr:row>10</xdr:row>
      <xdr:rowOff>289111</xdr:rowOff>
    </xdr:to>
    <xdr:sp macro="" textlink="">
      <xdr:nvSpPr>
        <xdr:cNvPr id="3" name="Left Arrow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583207" y="4291852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522194</xdr:colOff>
      <xdr:row>11</xdr:row>
      <xdr:rowOff>230841</xdr:rowOff>
    </xdr:from>
    <xdr:to>
      <xdr:col>3</xdr:col>
      <xdr:colOff>836519</xdr:colOff>
      <xdr:row>11</xdr:row>
      <xdr:rowOff>307041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4567518" y="4690782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528917</xdr:colOff>
      <xdr:row>12</xdr:row>
      <xdr:rowOff>237564</xdr:rowOff>
    </xdr:from>
    <xdr:to>
      <xdr:col>3</xdr:col>
      <xdr:colOff>843242</xdr:colOff>
      <xdr:row>12</xdr:row>
      <xdr:rowOff>313764</xdr:rowOff>
    </xdr:to>
    <xdr:sp macro="" textlink="">
      <xdr:nvSpPr>
        <xdr:cNvPr id="5" name="Left Arrow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74241" y="5078505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513229</xdr:colOff>
      <xdr:row>13</xdr:row>
      <xdr:rowOff>199465</xdr:rowOff>
    </xdr:from>
    <xdr:to>
      <xdr:col>3</xdr:col>
      <xdr:colOff>827554</xdr:colOff>
      <xdr:row>13</xdr:row>
      <xdr:rowOff>275665</xdr:rowOff>
    </xdr:to>
    <xdr:sp macro="" textlink="">
      <xdr:nvSpPr>
        <xdr:cNvPr id="6" name="Left Arrow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558553" y="5421406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508747</xdr:colOff>
      <xdr:row>14</xdr:row>
      <xdr:rowOff>183777</xdr:rowOff>
    </xdr:from>
    <xdr:to>
      <xdr:col>3</xdr:col>
      <xdr:colOff>823072</xdr:colOff>
      <xdr:row>14</xdr:row>
      <xdr:rowOff>259977</xdr:rowOff>
    </xdr:to>
    <xdr:sp macro="" textlink="">
      <xdr:nvSpPr>
        <xdr:cNvPr id="7" name="Left Arrow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554071" y="5786718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526677</xdr:colOff>
      <xdr:row>2</xdr:row>
      <xdr:rowOff>212912</xdr:rowOff>
    </xdr:from>
    <xdr:to>
      <xdr:col>3</xdr:col>
      <xdr:colOff>841002</xdr:colOff>
      <xdr:row>2</xdr:row>
      <xdr:rowOff>289112</xdr:rowOff>
    </xdr:to>
    <xdr:sp macro="" textlink="">
      <xdr:nvSpPr>
        <xdr:cNvPr id="8" name="Left Arrow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572001" y="1243853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499782</xdr:colOff>
      <xdr:row>3</xdr:row>
      <xdr:rowOff>174812</xdr:rowOff>
    </xdr:from>
    <xdr:to>
      <xdr:col>3</xdr:col>
      <xdr:colOff>814107</xdr:colOff>
      <xdr:row>3</xdr:row>
      <xdr:rowOff>251012</xdr:rowOff>
    </xdr:to>
    <xdr:sp macro="" textlink="">
      <xdr:nvSpPr>
        <xdr:cNvPr id="9" name="Left Arrow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545106" y="1631577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517711</xdr:colOff>
      <xdr:row>4</xdr:row>
      <xdr:rowOff>226358</xdr:rowOff>
    </xdr:from>
    <xdr:to>
      <xdr:col>3</xdr:col>
      <xdr:colOff>832036</xdr:colOff>
      <xdr:row>4</xdr:row>
      <xdr:rowOff>302558</xdr:rowOff>
    </xdr:to>
    <xdr:sp macro="" textlink="">
      <xdr:nvSpPr>
        <xdr:cNvPr id="10" name="Left Arrow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563035" y="2064123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524436</xdr:colOff>
      <xdr:row>5</xdr:row>
      <xdr:rowOff>199465</xdr:rowOff>
    </xdr:from>
    <xdr:to>
      <xdr:col>3</xdr:col>
      <xdr:colOff>838761</xdr:colOff>
      <xdr:row>5</xdr:row>
      <xdr:rowOff>275665</xdr:rowOff>
    </xdr:to>
    <xdr:sp macro="" textlink="">
      <xdr:nvSpPr>
        <xdr:cNvPr id="11" name="Left Arrow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569760" y="2384612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531159</xdr:colOff>
      <xdr:row>6</xdr:row>
      <xdr:rowOff>194982</xdr:rowOff>
    </xdr:from>
    <xdr:to>
      <xdr:col>3</xdr:col>
      <xdr:colOff>845484</xdr:colOff>
      <xdr:row>6</xdr:row>
      <xdr:rowOff>271182</xdr:rowOff>
    </xdr:to>
    <xdr:sp macro="" textlink="">
      <xdr:nvSpPr>
        <xdr:cNvPr id="12" name="Left Arrow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4576483" y="2761129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6</xdr:row>
      <xdr:rowOff>38100</xdr:rowOff>
    </xdr:from>
    <xdr:to>
      <xdr:col>3</xdr:col>
      <xdr:colOff>466725</xdr:colOff>
      <xdr:row>7</xdr:row>
      <xdr:rowOff>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4057650" y="2781300"/>
          <a:ext cx="447675" cy="2286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5</xdr:row>
      <xdr:rowOff>57150</xdr:rowOff>
    </xdr:from>
    <xdr:to>
      <xdr:col>3</xdr:col>
      <xdr:colOff>466725</xdr:colOff>
      <xdr:row>6</xdr:row>
      <xdr:rowOff>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4057650" y="223837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</xdr:colOff>
      <xdr:row>7</xdr:row>
      <xdr:rowOff>38100</xdr:rowOff>
    </xdr:from>
    <xdr:to>
      <xdr:col>3</xdr:col>
      <xdr:colOff>476250</xdr:colOff>
      <xdr:row>7</xdr:row>
      <xdr:rowOff>361950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4067175" y="29813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</xdr:colOff>
      <xdr:row>10</xdr:row>
      <xdr:rowOff>9525</xdr:rowOff>
    </xdr:from>
    <xdr:to>
      <xdr:col>3</xdr:col>
      <xdr:colOff>476250</xdr:colOff>
      <xdr:row>10</xdr:row>
      <xdr:rowOff>333375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4067175" y="40862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</xdr:colOff>
      <xdr:row>11</xdr:row>
      <xdr:rowOff>0</xdr:rowOff>
    </xdr:from>
    <xdr:to>
      <xdr:col>3</xdr:col>
      <xdr:colOff>476250</xdr:colOff>
      <xdr:row>11</xdr:row>
      <xdr:rowOff>323850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4067175" y="44577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38100</xdr:colOff>
      <xdr:row>12</xdr:row>
      <xdr:rowOff>9525</xdr:rowOff>
    </xdr:from>
    <xdr:to>
      <xdr:col>3</xdr:col>
      <xdr:colOff>485775</xdr:colOff>
      <xdr:row>12</xdr:row>
      <xdr:rowOff>333375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4076700" y="48482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13</xdr:row>
      <xdr:rowOff>9525</xdr:rowOff>
    </xdr:from>
    <xdr:to>
      <xdr:col>3</xdr:col>
      <xdr:colOff>466725</xdr:colOff>
      <xdr:row>13</xdr:row>
      <xdr:rowOff>333375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4057650" y="52292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447675</xdr:colOff>
      <xdr:row>14</xdr:row>
      <xdr:rowOff>333375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4076700" y="5638800"/>
          <a:ext cx="409575" cy="295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238125</xdr:colOff>
      <xdr:row>12</xdr:row>
      <xdr:rowOff>114300</xdr:rowOff>
    </xdr:from>
    <xdr:to>
      <xdr:col>3</xdr:col>
      <xdr:colOff>314325</xdr:colOff>
      <xdr:row>12</xdr:row>
      <xdr:rowOff>228600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4276725" y="495300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200025</xdr:colOff>
      <xdr:row>11</xdr:row>
      <xdr:rowOff>95250</xdr:rowOff>
    </xdr:from>
    <xdr:to>
      <xdr:col>3</xdr:col>
      <xdr:colOff>276225</xdr:colOff>
      <xdr:row>11</xdr:row>
      <xdr:rowOff>209550</xdr:rowOff>
    </xdr:to>
    <xdr:sp macro="" textlink="">
      <xdr:nvSpPr>
        <xdr:cNvPr id="23" name="Up Arrow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4238625" y="455295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228600</xdr:colOff>
      <xdr:row>10</xdr:row>
      <xdr:rowOff>104775</xdr:rowOff>
    </xdr:from>
    <xdr:to>
      <xdr:col>3</xdr:col>
      <xdr:colOff>304800</xdr:colOff>
      <xdr:row>10</xdr:row>
      <xdr:rowOff>219075</xdr:rowOff>
    </xdr:to>
    <xdr:sp macro="" textlink="">
      <xdr:nvSpPr>
        <xdr:cNvPr id="24" name="Up Arrow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4267200" y="4181475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209550</xdr:colOff>
      <xdr:row>7</xdr:row>
      <xdr:rowOff>123825</xdr:rowOff>
    </xdr:from>
    <xdr:to>
      <xdr:col>3</xdr:col>
      <xdr:colOff>285750</xdr:colOff>
      <xdr:row>7</xdr:row>
      <xdr:rowOff>238125</xdr:rowOff>
    </xdr:to>
    <xdr:sp macro="" textlink="">
      <xdr:nvSpPr>
        <xdr:cNvPr id="25" name="Up Arrow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248150" y="306705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209550</xdr:colOff>
      <xdr:row>6</xdr:row>
      <xdr:rowOff>114300</xdr:rowOff>
    </xdr:from>
    <xdr:to>
      <xdr:col>3</xdr:col>
      <xdr:colOff>285750</xdr:colOff>
      <xdr:row>6</xdr:row>
      <xdr:rowOff>228600</xdr:rowOff>
    </xdr:to>
    <xdr:sp macro="" textlink="">
      <xdr:nvSpPr>
        <xdr:cNvPr id="26" name="Up Arrow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4248150" y="2676525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190500</xdr:colOff>
      <xdr:row>5</xdr:row>
      <xdr:rowOff>180975</xdr:rowOff>
    </xdr:from>
    <xdr:to>
      <xdr:col>3</xdr:col>
      <xdr:colOff>266700</xdr:colOff>
      <xdr:row>5</xdr:row>
      <xdr:rowOff>295275</xdr:rowOff>
    </xdr:to>
    <xdr:sp macro="" textlink="">
      <xdr:nvSpPr>
        <xdr:cNvPr id="27" name="Up Arrow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4229100" y="236220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219075</xdr:colOff>
      <xdr:row>13</xdr:row>
      <xdr:rowOff>104775</xdr:rowOff>
    </xdr:from>
    <xdr:to>
      <xdr:col>3</xdr:col>
      <xdr:colOff>295275</xdr:colOff>
      <xdr:row>13</xdr:row>
      <xdr:rowOff>219075</xdr:rowOff>
    </xdr:to>
    <xdr:sp macro="" textlink="">
      <xdr:nvSpPr>
        <xdr:cNvPr id="30" name="Up Arrow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4257675" y="5324475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190500</xdr:colOff>
      <xdr:row>14</xdr:row>
      <xdr:rowOff>133350</xdr:rowOff>
    </xdr:from>
    <xdr:to>
      <xdr:col>3</xdr:col>
      <xdr:colOff>266700</xdr:colOff>
      <xdr:row>14</xdr:row>
      <xdr:rowOff>247650</xdr:rowOff>
    </xdr:to>
    <xdr:sp macro="" textlink="">
      <xdr:nvSpPr>
        <xdr:cNvPr id="31" name="Up Arrow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4229100" y="5734050"/>
          <a:ext cx="76200" cy="1143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0</xdr:row>
      <xdr:rowOff>85725</xdr:rowOff>
    </xdr:from>
    <xdr:to>
      <xdr:col>2</xdr:col>
      <xdr:colOff>371475</xdr:colOff>
      <xdr:row>1</xdr:row>
      <xdr:rowOff>262856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4" y="85725"/>
          <a:ext cx="771526" cy="367631"/>
        </a:xfrm>
        <a:prstGeom prst="rect">
          <a:avLst/>
        </a:prstGeom>
      </xdr:spPr>
    </xdr:pic>
    <xdr:clientData/>
  </xdr:twoCellAnchor>
  <xdr:twoCellAnchor editAs="oneCell">
    <xdr:from>
      <xdr:col>3</xdr:col>
      <xdr:colOff>135031</xdr:colOff>
      <xdr:row>2</xdr:row>
      <xdr:rowOff>301504</xdr:rowOff>
    </xdr:from>
    <xdr:to>
      <xdr:col>3</xdr:col>
      <xdr:colOff>601756</xdr:colOff>
      <xdr:row>3</xdr:row>
      <xdr:rowOff>390711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1256" y="844429"/>
          <a:ext cx="466725" cy="44163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123825</xdr:colOff>
      <xdr:row>4</xdr:row>
      <xdr:rowOff>47625</xdr:rowOff>
    </xdr:from>
    <xdr:to>
      <xdr:col>3</xdr:col>
      <xdr:colOff>593580</xdr:colOff>
      <xdr:row>4</xdr:row>
      <xdr:rowOff>492124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390650"/>
          <a:ext cx="469755" cy="44449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104774</xdr:colOff>
      <xdr:row>3</xdr:row>
      <xdr:rowOff>47625</xdr:rowOff>
    </xdr:from>
    <xdr:to>
      <xdr:col>4</xdr:col>
      <xdr:colOff>552449</xdr:colOff>
      <xdr:row>3</xdr:row>
      <xdr:rowOff>371475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867149" y="94297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3</xdr:row>
      <xdr:rowOff>142875</xdr:rowOff>
    </xdr:from>
    <xdr:to>
      <xdr:col>4</xdr:col>
      <xdr:colOff>409575</xdr:colOff>
      <xdr:row>3</xdr:row>
      <xdr:rowOff>295275</xdr:rowOff>
    </xdr:to>
    <xdr:sp macro="" textlink="">
      <xdr:nvSpPr>
        <xdr:cNvPr id="8" name="Up Arr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4038600" y="1038225"/>
          <a:ext cx="133350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114300</xdr:colOff>
      <xdr:row>4</xdr:row>
      <xdr:rowOff>114300</xdr:rowOff>
    </xdr:from>
    <xdr:to>
      <xdr:col>4</xdr:col>
      <xdr:colOff>561975</xdr:colOff>
      <xdr:row>4</xdr:row>
      <xdr:rowOff>438150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876675" y="14573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285750</xdr:colOff>
      <xdr:row>4</xdr:row>
      <xdr:rowOff>200025</xdr:rowOff>
    </xdr:from>
    <xdr:to>
      <xdr:col>4</xdr:col>
      <xdr:colOff>419100</xdr:colOff>
      <xdr:row>4</xdr:row>
      <xdr:rowOff>352425</xdr:rowOff>
    </xdr:to>
    <xdr:sp macro="" textlink="">
      <xdr:nvSpPr>
        <xdr:cNvPr id="10" name="Up Arr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4048125" y="1543050"/>
          <a:ext cx="133350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85725</xdr:colOff>
      <xdr:row>5</xdr:row>
      <xdr:rowOff>28575</xdr:rowOff>
    </xdr:from>
    <xdr:to>
      <xdr:col>4</xdr:col>
      <xdr:colOff>533400</xdr:colOff>
      <xdr:row>5</xdr:row>
      <xdr:rowOff>352425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3848100" y="21336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5</xdr:row>
      <xdr:rowOff>114300</xdr:rowOff>
    </xdr:from>
    <xdr:to>
      <xdr:col>4</xdr:col>
      <xdr:colOff>400050</xdr:colOff>
      <xdr:row>5</xdr:row>
      <xdr:rowOff>266700</xdr:rowOff>
    </xdr:to>
    <xdr:sp macro="" textlink="">
      <xdr:nvSpPr>
        <xdr:cNvPr id="13" name="Up Arr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4019550" y="2219325"/>
          <a:ext cx="142875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123825</xdr:colOff>
      <xdr:row>7</xdr:row>
      <xdr:rowOff>171450</xdr:rowOff>
    </xdr:from>
    <xdr:to>
      <xdr:col>4</xdr:col>
      <xdr:colOff>571500</xdr:colOff>
      <xdr:row>7</xdr:row>
      <xdr:rowOff>495300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3886200" y="298132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7</xdr:row>
      <xdr:rowOff>247650</xdr:rowOff>
    </xdr:from>
    <xdr:to>
      <xdr:col>4</xdr:col>
      <xdr:colOff>419100</xdr:colOff>
      <xdr:row>7</xdr:row>
      <xdr:rowOff>400050</xdr:rowOff>
    </xdr:to>
    <xdr:sp macro="" textlink="">
      <xdr:nvSpPr>
        <xdr:cNvPr id="15" name="Up Arrow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4038600" y="3057525"/>
          <a:ext cx="142875" cy="15240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166012</xdr:colOff>
      <xdr:row>8</xdr:row>
      <xdr:rowOff>73478</xdr:rowOff>
    </xdr:from>
    <xdr:to>
      <xdr:col>4</xdr:col>
      <xdr:colOff>480337</xdr:colOff>
      <xdr:row>8</xdr:row>
      <xdr:rowOff>149678</xdr:rowOff>
    </xdr:to>
    <xdr:sp macro="" textlink="">
      <xdr:nvSpPr>
        <xdr:cNvPr id="16" name="Left Arrow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5377548" y="3230335"/>
          <a:ext cx="314325" cy="76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175538</xdr:colOff>
      <xdr:row>9</xdr:row>
      <xdr:rowOff>63954</xdr:rowOff>
    </xdr:from>
    <xdr:to>
      <xdr:col>4</xdr:col>
      <xdr:colOff>489863</xdr:colOff>
      <xdr:row>9</xdr:row>
      <xdr:rowOff>149679</xdr:rowOff>
    </xdr:to>
    <xdr:sp macro="" textlink="">
      <xdr:nvSpPr>
        <xdr:cNvPr id="17" name="Left Arr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387074" y="3411311"/>
          <a:ext cx="314325" cy="857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47631</xdr:colOff>
      <xdr:row>11</xdr:row>
      <xdr:rowOff>59871</xdr:rowOff>
    </xdr:from>
    <xdr:to>
      <xdr:col>4</xdr:col>
      <xdr:colOff>523881</xdr:colOff>
      <xdr:row>14</xdr:row>
      <xdr:rowOff>97971</xdr:rowOff>
    </xdr:to>
    <xdr:sp macro="" textlink="">
      <xdr:nvSpPr>
        <xdr:cNvPr id="18" name="Left Arrow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259167" y="3788228"/>
          <a:ext cx="476250" cy="6096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95250</xdr:colOff>
      <xdr:row>19</xdr:row>
      <xdr:rowOff>38100</xdr:rowOff>
    </xdr:from>
    <xdr:to>
      <xdr:col>4</xdr:col>
      <xdr:colOff>542925</xdr:colOff>
      <xdr:row>19</xdr:row>
      <xdr:rowOff>361950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105275" y="65151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95250</xdr:colOff>
      <xdr:row>18</xdr:row>
      <xdr:rowOff>38100</xdr:rowOff>
    </xdr:from>
    <xdr:to>
      <xdr:col>4</xdr:col>
      <xdr:colOff>542925</xdr:colOff>
      <xdr:row>18</xdr:row>
      <xdr:rowOff>361950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4105275" y="61341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85725</xdr:colOff>
      <xdr:row>17</xdr:row>
      <xdr:rowOff>38100</xdr:rowOff>
    </xdr:from>
    <xdr:to>
      <xdr:col>4</xdr:col>
      <xdr:colOff>533400</xdr:colOff>
      <xdr:row>17</xdr:row>
      <xdr:rowOff>361950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4095750" y="5753100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95250</xdr:colOff>
      <xdr:row>16</xdr:row>
      <xdr:rowOff>28575</xdr:rowOff>
    </xdr:from>
    <xdr:to>
      <xdr:col>4</xdr:col>
      <xdr:colOff>542925</xdr:colOff>
      <xdr:row>16</xdr:row>
      <xdr:rowOff>352425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4105275" y="5362575"/>
          <a:ext cx="447675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19</xdr:row>
      <xdr:rowOff>123825</xdr:rowOff>
    </xdr:from>
    <xdr:to>
      <xdr:col>4</xdr:col>
      <xdr:colOff>352425</xdr:colOff>
      <xdr:row>19</xdr:row>
      <xdr:rowOff>247650</xdr:rowOff>
    </xdr:to>
    <xdr:sp macro="" textlink="">
      <xdr:nvSpPr>
        <xdr:cNvPr id="23" name="Up Arr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4286250" y="660082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18</xdr:row>
      <xdr:rowOff>133350</xdr:rowOff>
    </xdr:from>
    <xdr:to>
      <xdr:col>4</xdr:col>
      <xdr:colOff>352425</xdr:colOff>
      <xdr:row>18</xdr:row>
      <xdr:rowOff>257175</xdr:rowOff>
    </xdr:to>
    <xdr:sp macro="" textlink="">
      <xdr:nvSpPr>
        <xdr:cNvPr id="24" name="Up Arrow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4286250" y="6229350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276225</xdr:colOff>
      <xdr:row>17</xdr:row>
      <xdr:rowOff>142875</xdr:rowOff>
    </xdr:from>
    <xdr:to>
      <xdr:col>4</xdr:col>
      <xdr:colOff>352425</xdr:colOff>
      <xdr:row>17</xdr:row>
      <xdr:rowOff>266700</xdr:rowOff>
    </xdr:to>
    <xdr:sp macro="" textlink="">
      <xdr:nvSpPr>
        <xdr:cNvPr id="25" name="Up Arr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286250" y="585787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295275</xdr:colOff>
      <xdr:row>16</xdr:row>
      <xdr:rowOff>123825</xdr:rowOff>
    </xdr:from>
    <xdr:to>
      <xdr:col>4</xdr:col>
      <xdr:colOff>371475</xdr:colOff>
      <xdr:row>16</xdr:row>
      <xdr:rowOff>247650</xdr:rowOff>
    </xdr:to>
    <xdr:sp macro="" textlink="">
      <xdr:nvSpPr>
        <xdr:cNvPr id="26" name="Up Arrow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305300" y="545782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266700</xdr:colOff>
      <xdr:row>21</xdr:row>
      <xdr:rowOff>66675</xdr:rowOff>
    </xdr:from>
    <xdr:to>
      <xdr:col>4</xdr:col>
      <xdr:colOff>342900</xdr:colOff>
      <xdr:row>22</xdr:row>
      <xdr:rowOff>0</xdr:rowOff>
    </xdr:to>
    <xdr:sp macro="" textlink="">
      <xdr:nvSpPr>
        <xdr:cNvPr id="27" name="Up Arr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076825" y="6972300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66675</xdr:colOff>
      <xdr:row>20</xdr:row>
      <xdr:rowOff>171450</xdr:rowOff>
    </xdr:from>
    <xdr:to>
      <xdr:col>4</xdr:col>
      <xdr:colOff>514350</xdr:colOff>
      <xdr:row>22</xdr:row>
      <xdr:rowOff>85725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4876800" y="6886575"/>
          <a:ext cx="447675" cy="295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257175</xdr:colOff>
      <xdr:row>21</xdr:row>
      <xdr:rowOff>76200</xdr:rowOff>
    </xdr:from>
    <xdr:to>
      <xdr:col>4</xdr:col>
      <xdr:colOff>333375</xdr:colOff>
      <xdr:row>22</xdr:row>
      <xdr:rowOff>9525</xdr:rowOff>
    </xdr:to>
    <xdr:sp macro="" textlink="">
      <xdr:nvSpPr>
        <xdr:cNvPr id="29" name="Up Arrow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067300" y="6981825"/>
          <a:ext cx="76200" cy="123825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0</xdr:row>
      <xdr:rowOff>66674</xdr:rowOff>
    </xdr:from>
    <xdr:to>
      <xdr:col>2</xdr:col>
      <xdr:colOff>1276351</xdr:colOff>
      <xdr:row>0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1" y="66674"/>
          <a:ext cx="1466850" cy="6096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3</xdr:col>
      <xdr:colOff>134471</xdr:colOff>
      <xdr:row>17</xdr:row>
      <xdr:rowOff>22411</xdr:rowOff>
    </xdr:from>
    <xdr:to>
      <xdr:col>3</xdr:col>
      <xdr:colOff>437030</xdr:colOff>
      <xdr:row>17</xdr:row>
      <xdr:rowOff>302558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518647" y="6544235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275666</xdr:colOff>
      <xdr:row>18</xdr:row>
      <xdr:rowOff>40342</xdr:rowOff>
    </xdr:from>
    <xdr:to>
      <xdr:col>3</xdr:col>
      <xdr:colOff>578225</xdr:colOff>
      <xdr:row>19</xdr:row>
      <xdr:rowOff>6724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659842" y="687593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304801</xdr:colOff>
      <xdr:row>16</xdr:row>
      <xdr:rowOff>24653</xdr:rowOff>
    </xdr:from>
    <xdr:to>
      <xdr:col>3</xdr:col>
      <xdr:colOff>607360</xdr:colOff>
      <xdr:row>16</xdr:row>
      <xdr:rowOff>304800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688977" y="6232712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121025</xdr:colOff>
      <xdr:row>15</xdr:row>
      <xdr:rowOff>42583</xdr:rowOff>
    </xdr:from>
    <xdr:to>
      <xdr:col>3</xdr:col>
      <xdr:colOff>423584</xdr:colOff>
      <xdr:row>16</xdr:row>
      <xdr:rowOff>8965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3505201" y="5936877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363072</xdr:colOff>
      <xdr:row>14</xdr:row>
      <xdr:rowOff>15689</xdr:rowOff>
    </xdr:from>
    <xdr:to>
      <xdr:col>3</xdr:col>
      <xdr:colOff>665631</xdr:colOff>
      <xdr:row>14</xdr:row>
      <xdr:rowOff>295836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3747248" y="5596218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134472</xdr:colOff>
      <xdr:row>13</xdr:row>
      <xdr:rowOff>22412</xdr:rowOff>
    </xdr:from>
    <xdr:to>
      <xdr:col>3</xdr:col>
      <xdr:colOff>437031</xdr:colOff>
      <xdr:row>13</xdr:row>
      <xdr:rowOff>302559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3518648" y="5289177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354106</xdr:colOff>
      <xdr:row>12</xdr:row>
      <xdr:rowOff>17930</xdr:rowOff>
    </xdr:from>
    <xdr:to>
      <xdr:col>3</xdr:col>
      <xdr:colOff>656665</xdr:colOff>
      <xdr:row>12</xdr:row>
      <xdr:rowOff>298077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3738282" y="497093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147918</xdr:colOff>
      <xdr:row>11</xdr:row>
      <xdr:rowOff>35859</xdr:rowOff>
    </xdr:from>
    <xdr:to>
      <xdr:col>3</xdr:col>
      <xdr:colOff>450477</xdr:colOff>
      <xdr:row>12</xdr:row>
      <xdr:rowOff>2241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3532094" y="4675094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367553</xdr:colOff>
      <xdr:row>10</xdr:row>
      <xdr:rowOff>42582</xdr:rowOff>
    </xdr:from>
    <xdr:to>
      <xdr:col>3</xdr:col>
      <xdr:colOff>670112</xdr:colOff>
      <xdr:row>11</xdr:row>
      <xdr:rowOff>8965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3751729" y="4368053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150160</xdr:colOff>
      <xdr:row>9</xdr:row>
      <xdr:rowOff>26894</xdr:rowOff>
    </xdr:from>
    <xdr:to>
      <xdr:col>3</xdr:col>
      <xdr:colOff>452719</xdr:colOff>
      <xdr:row>9</xdr:row>
      <xdr:rowOff>307041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3534336" y="403860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381000</xdr:colOff>
      <xdr:row>8</xdr:row>
      <xdr:rowOff>33619</xdr:rowOff>
    </xdr:from>
    <xdr:to>
      <xdr:col>3</xdr:col>
      <xdr:colOff>683559</xdr:colOff>
      <xdr:row>9</xdr:row>
      <xdr:rowOff>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3765176" y="3731560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141195</xdr:colOff>
      <xdr:row>7</xdr:row>
      <xdr:rowOff>29136</xdr:rowOff>
    </xdr:from>
    <xdr:to>
      <xdr:col>3</xdr:col>
      <xdr:colOff>443754</xdr:colOff>
      <xdr:row>7</xdr:row>
      <xdr:rowOff>309283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3525371" y="3413312"/>
          <a:ext cx="302559" cy="28014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246530</xdr:colOff>
      <xdr:row>7</xdr:row>
      <xdr:rowOff>100854</xdr:rowOff>
    </xdr:from>
    <xdr:to>
      <xdr:col>3</xdr:col>
      <xdr:colOff>336177</xdr:colOff>
      <xdr:row>7</xdr:row>
      <xdr:rowOff>235324</xdr:rowOff>
    </xdr:to>
    <xdr:sp macro="" textlink="">
      <xdr:nvSpPr>
        <xdr:cNvPr id="15" name="Up Arrow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3630706" y="3485030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499783</xdr:colOff>
      <xdr:row>8</xdr:row>
      <xdr:rowOff>96371</xdr:rowOff>
    </xdr:from>
    <xdr:to>
      <xdr:col>3</xdr:col>
      <xdr:colOff>589430</xdr:colOff>
      <xdr:row>8</xdr:row>
      <xdr:rowOff>230841</xdr:rowOff>
    </xdr:to>
    <xdr:sp macro="" textlink="">
      <xdr:nvSpPr>
        <xdr:cNvPr id="16" name="Up Arrow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3883959" y="3794312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259977</xdr:colOff>
      <xdr:row>9</xdr:row>
      <xdr:rowOff>91888</xdr:rowOff>
    </xdr:from>
    <xdr:to>
      <xdr:col>3</xdr:col>
      <xdr:colOff>349624</xdr:colOff>
      <xdr:row>9</xdr:row>
      <xdr:rowOff>226358</xdr:rowOff>
    </xdr:to>
    <xdr:sp macro="" textlink="">
      <xdr:nvSpPr>
        <xdr:cNvPr id="17" name="Up Arrow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3644153" y="4103594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468406</xdr:colOff>
      <xdr:row>10</xdr:row>
      <xdr:rowOff>143435</xdr:rowOff>
    </xdr:from>
    <xdr:to>
      <xdr:col>3</xdr:col>
      <xdr:colOff>558053</xdr:colOff>
      <xdr:row>10</xdr:row>
      <xdr:rowOff>277905</xdr:rowOff>
    </xdr:to>
    <xdr:sp macro="" textlink="">
      <xdr:nvSpPr>
        <xdr:cNvPr id="18" name="Up Arrow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3852582" y="4468906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273424</xdr:colOff>
      <xdr:row>11</xdr:row>
      <xdr:rowOff>116542</xdr:rowOff>
    </xdr:from>
    <xdr:to>
      <xdr:col>3</xdr:col>
      <xdr:colOff>363071</xdr:colOff>
      <xdr:row>11</xdr:row>
      <xdr:rowOff>251012</xdr:rowOff>
    </xdr:to>
    <xdr:sp macro="" textlink="">
      <xdr:nvSpPr>
        <xdr:cNvPr id="19" name="Up Arrow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3657600" y="47557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470647</xdr:colOff>
      <xdr:row>12</xdr:row>
      <xdr:rowOff>100853</xdr:rowOff>
    </xdr:from>
    <xdr:to>
      <xdr:col>3</xdr:col>
      <xdr:colOff>560294</xdr:colOff>
      <xdr:row>12</xdr:row>
      <xdr:rowOff>235323</xdr:rowOff>
    </xdr:to>
    <xdr:sp macro="" textlink="">
      <xdr:nvSpPr>
        <xdr:cNvPr id="20" name="Up Arrow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3854823" y="5053853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242047</xdr:colOff>
      <xdr:row>13</xdr:row>
      <xdr:rowOff>96371</xdr:rowOff>
    </xdr:from>
    <xdr:to>
      <xdr:col>3</xdr:col>
      <xdr:colOff>331694</xdr:colOff>
      <xdr:row>13</xdr:row>
      <xdr:rowOff>230841</xdr:rowOff>
    </xdr:to>
    <xdr:sp macro="" textlink="">
      <xdr:nvSpPr>
        <xdr:cNvPr id="21" name="Up Arrow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3626223" y="5363136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484094</xdr:colOff>
      <xdr:row>14</xdr:row>
      <xdr:rowOff>103095</xdr:rowOff>
    </xdr:from>
    <xdr:to>
      <xdr:col>3</xdr:col>
      <xdr:colOff>573741</xdr:colOff>
      <xdr:row>14</xdr:row>
      <xdr:rowOff>237565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3868270" y="5683624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221877</xdr:colOff>
      <xdr:row>15</xdr:row>
      <xdr:rowOff>98612</xdr:rowOff>
    </xdr:from>
    <xdr:to>
      <xdr:col>3</xdr:col>
      <xdr:colOff>311524</xdr:colOff>
      <xdr:row>15</xdr:row>
      <xdr:rowOff>233082</xdr:rowOff>
    </xdr:to>
    <xdr:sp macro="" textlink="">
      <xdr:nvSpPr>
        <xdr:cNvPr id="23" name="Up Arrow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3606053" y="5992906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419100</xdr:colOff>
      <xdr:row>16</xdr:row>
      <xdr:rowOff>71718</xdr:rowOff>
    </xdr:from>
    <xdr:to>
      <xdr:col>3</xdr:col>
      <xdr:colOff>508747</xdr:colOff>
      <xdr:row>16</xdr:row>
      <xdr:rowOff>206188</xdr:rowOff>
    </xdr:to>
    <xdr:sp macro="" textlink="">
      <xdr:nvSpPr>
        <xdr:cNvPr id="24" name="Up Arrow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3803276" y="62797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235324</xdr:colOff>
      <xdr:row>17</xdr:row>
      <xdr:rowOff>100853</xdr:rowOff>
    </xdr:from>
    <xdr:to>
      <xdr:col>3</xdr:col>
      <xdr:colOff>324971</xdr:colOff>
      <xdr:row>17</xdr:row>
      <xdr:rowOff>235323</xdr:rowOff>
    </xdr:to>
    <xdr:sp macro="" textlink="">
      <xdr:nvSpPr>
        <xdr:cNvPr id="25" name="Up Arrow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3619500" y="66226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3</xdr:col>
      <xdr:colOff>387723</xdr:colOff>
      <xdr:row>18</xdr:row>
      <xdr:rowOff>129989</xdr:rowOff>
    </xdr:from>
    <xdr:to>
      <xdr:col>3</xdr:col>
      <xdr:colOff>477370</xdr:colOff>
      <xdr:row>18</xdr:row>
      <xdr:rowOff>264459</xdr:rowOff>
    </xdr:to>
    <xdr:sp macro="" textlink="">
      <xdr:nvSpPr>
        <xdr:cNvPr id="26" name="Up Arrow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3771899" y="6965577"/>
          <a:ext cx="89647" cy="134470"/>
        </a:xfrm>
        <a:prstGeom prst="up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76200</xdr:rowOff>
    </xdr:from>
    <xdr:to>
      <xdr:col>2</xdr:col>
      <xdr:colOff>400050</xdr:colOff>
      <xdr:row>1</xdr:row>
      <xdr:rowOff>75640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4F81EC-457F-4295-8A57-8D958C440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84935" y="76200"/>
          <a:ext cx="683895" cy="296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10"/>
  <sheetViews>
    <sheetView tabSelected="1" view="pageBreakPreview" zoomScaleNormal="85" zoomScaleSheetLayoutView="100" workbookViewId="0">
      <selection activeCell="H5" sqref="H5"/>
    </sheetView>
  </sheetViews>
  <sheetFormatPr defaultRowHeight="14.4" x14ac:dyDescent="0.3"/>
  <cols>
    <col min="1" max="1" width="17.33203125" style="6" bestFit="1" customWidth="1"/>
    <col min="2" max="2" width="14.33203125" style="6" bestFit="1" customWidth="1"/>
    <col min="3" max="3" width="27" style="6" bestFit="1" customWidth="1"/>
    <col min="4" max="4" width="21" style="6" customWidth="1"/>
    <col min="5" max="5" width="18.6640625" style="6" customWidth="1"/>
    <col min="6" max="6" width="8.6640625" style="6" bestFit="1" customWidth="1"/>
    <col min="7" max="7" width="10" style="6" customWidth="1"/>
    <col min="8" max="8" width="8.109375" style="6" customWidth="1"/>
    <col min="257" max="257" width="17.33203125" bestFit="1" customWidth="1"/>
    <col min="258" max="258" width="14.33203125" bestFit="1" customWidth="1"/>
    <col min="259" max="259" width="27" bestFit="1" customWidth="1"/>
    <col min="260" max="260" width="21" customWidth="1"/>
    <col min="261" max="261" width="18.6640625" customWidth="1"/>
    <col min="262" max="262" width="8.6640625" bestFit="1" customWidth="1"/>
    <col min="263" max="263" width="10" customWidth="1"/>
    <col min="264" max="264" width="8.109375" customWidth="1"/>
    <col min="513" max="513" width="17.33203125" bestFit="1" customWidth="1"/>
    <col min="514" max="514" width="14.33203125" bestFit="1" customWidth="1"/>
    <col min="515" max="515" width="27" bestFit="1" customWidth="1"/>
    <col min="516" max="516" width="21" customWidth="1"/>
    <col min="517" max="517" width="18.6640625" customWidth="1"/>
    <col min="518" max="518" width="8.6640625" bestFit="1" customWidth="1"/>
    <col min="519" max="519" width="10" customWidth="1"/>
    <col min="520" max="520" width="8.109375" customWidth="1"/>
    <col min="769" max="769" width="17.33203125" bestFit="1" customWidth="1"/>
    <col min="770" max="770" width="14.33203125" bestFit="1" customWidth="1"/>
    <col min="771" max="771" width="27" bestFit="1" customWidth="1"/>
    <col min="772" max="772" width="21" customWidth="1"/>
    <col min="773" max="773" width="18.6640625" customWidth="1"/>
    <col min="774" max="774" width="8.6640625" bestFit="1" customWidth="1"/>
    <col min="775" max="775" width="10" customWidth="1"/>
    <col min="776" max="776" width="8.109375" customWidth="1"/>
    <col min="1025" max="1025" width="17.33203125" bestFit="1" customWidth="1"/>
    <col min="1026" max="1026" width="14.33203125" bestFit="1" customWidth="1"/>
    <col min="1027" max="1027" width="27" bestFit="1" customWidth="1"/>
    <col min="1028" max="1028" width="21" customWidth="1"/>
    <col min="1029" max="1029" width="18.6640625" customWidth="1"/>
    <col min="1030" max="1030" width="8.6640625" bestFit="1" customWidth="1"/>
    <col min="1031" max="1031" width="10" customWidth="1"/>
    <col min="1032" max="1032" width="8.109375" customWidth="1"/>
    <col min="1281" max="1281" width="17.33203125" bestFit="1" customWidth="1"/>
    <col min="1282" max="1282" width="14.33203125" bestFit="1" customWidth="1"/>
    <col min="1283" max="1283" width="27" bestFit="1" customWidth="1"/>
    <col min="1284" max="1284" width="21" customWidth="1"/>
    <col min="1285" max="1285" width="18.6640625" customWidth="1"/>
    <col min="1286" max="1286" width="8.6640625" bestFit="1" customWidth="1"/>
    <col min="1287" max="1287" width="10" customWidth="1"/>
    <col min="1288" max="1288" width="8.109375" customWidth="1"/>
    <col min="1537" max="1537" width="17.33203125" bestFit="1" customWidth="1"/>
    <col min="1538" max="1538" width="14.33203125" bestFit="1" customWidth="1"/>
    <col min="1539" max="1539" width="27" bestFit="1" customWidth="1"/>
    <col min="1540" max="1540" width="21" customWidth="1"/>
    <col min="1541" max="1541" width="18.6640625" customWidth="1"/>
    <col min="1542" max="1542" width="8.6640625" bestFit="1" customWidth="1"/>
    <col min="1543" max="1543" width="10" customWidth="1"/>
    <col min="1544" max="1544" width="8.109375" customWidth="1"/>
    <col min="1793" max="1793" width="17.33203125" bestFit="1" customWidth="1"/>
    <col min="1794" max="1794" width="14.33203125" bestFit="1" customWidth="1"/>
    <col min="1795" max="1795" width="27" bestFit="1" customWidth="1"/>
    <col min="1796" max="1796" width="21" customWidth="1"/>
    <col min="1797" max="1797" width="18.6640625" customWidth="1"/>
    <col min="1798" max="1798" width="8.6640625" bestFit="1" customWidth="1"/>
    <col min="1799" max="1799" width="10" customWidth="1"/>
    <col min="1800" max="1800" width="8.109375" customWidth="1"/>
    <col min="2049" max="2049" width="17.33203125" bestFit="1" customWidth="1"/>
    <col min="2050" max="2050" width="14.33203125" bestFit="1" customWidth="1"/>
    <col min="2051" max="2051" width="27" bestFit="1" customWidth="1"/>
    <col min="2052" max="2052" width="21" customWidth="1"/>
    <col min="2053" max="2053" width="18.6640625" customWidth="1"/>
    <col min="2054" max="2054" width="8.6640625" bestFit="1" customWidth="1"/>
    <col min="2055" max="2055" width="10" customWidth="1"/>
    <col min="2056" max="2056" width="8.109375" customWidth="1"/>
    <col min="2305" max="2305" width="17.33203125" bestFit="1" customWidth="1"/>
    <col min="2306" max="2306" width="14.33203125" bestFit="1" customWidth="1"/>
    <col min="2307" max="2307" width="27" bestFit="1" customWidth="1"/>
    <col min="2308" max="2308" width="21" customWidth="1"/>
    <col min="2309" max="2309" width="18.6640625" customWidth="1"/>
    <col min="2310" max="2310" width="8.6640625" bestFit="1" customWidth="1"/>
    <col min="2311" max="2311" width="10" customWidth="1"/>
    <col min="2312" max="2312" width="8.109375" customWidth="1"/>
    <col min="2561" max="2561" width="17.33203125" bestFit="1" customWidth="1"/>
    <col min="2562" max="2562" width="14.33203125" bestFit="1" customWidth="1"/>
    <col min="2563" max="2563" width="27" bestFit="1" customWidth="1"/>
    <col min="2564" max="2564" width="21" customWidth="1"/>
    <col min="2565" max="2565" width="18.6640625" customWidth="1"/>
    <col min="2566" max="2566" width="8.6640625" bestFit="1" customWidth="1"/>
    <col min="2567" max="2567" width="10" customWidth="1"/>
    <col min="2568" max="2568" width="8.109375" customWidth="1"/>
    <col min="2817" max="2817" width="17.33203125" bestFit="1" customWidth="1"/>
    <col min="2818" max="2818" width="14.33203125" bestFit="1" customWidth="1"/>
    <col min="2819" max="2819" width="27" bestFit="1" customWidth="1"/>
    <col min="2820" max="2820" width="21" customWidth="1"/>
    <col min="2821" max="2821" width="18.6640625" customWidth="1"/>
    <col min="2822" max="2822" width="8.6640625" bestFit="1" customWidth="1"/>
    <col min="2823" max="2823" width="10" customWidth="1"/>
    <col min="2824" max="2824" width="8.109375" customWidth="1"/>
    <col min="3073" max="3073" width="17.33203125" bestFit="1" customWidth="1"/>
    <col min="3074" max="3074" width="14.33203125" bestFit="1" customWidth="1"/>
    <col min="3075" max="3075" width="27" bestFit="1" customWidth="1"/>
    <col min="3076" max="3076" width="21" customWidth="1"/>
    <col min="3077" max="3077" width="18.6640625" customWidth="1"/>
    <col min="3078" max="3078" width="8.6640625" bestFit="1" customWidth="1"/>
    <col min="3079" max="3079" width="10" customWidth="1"/>
    <col min="3080" max="3080" width="8.109375" customWidth="1"/>
    <col min="3329" max="3329" width="17.33203125" bestFit="1" customWidth="1"/>
    <col min="3330" max="3330" width="14.33203125" bestFit="1" customWidth="1"/>
    <col min="3331" max="3331" width="27" bestFit="1" customWidth="1"/>
    <col min="3332" max="3332" width="21" customWidth="1"/>
    <col min="3333" max="3333" width="18.6640625" customWidth="1"/>
    <col min="3334" max="3334" width="8.6640625" bestFit="1" customWidth="1"/>
    <col min="3335" max="3335" width="10" customWidth="1"/>
    <col min="3336" max="3336" width="8.109375" customWidth="1"/>
    <col min="3585" max="3585" width="17.33203125" bestFit="1" customWidth="1"/>
    <col min="3586" max="3586" width="14.33203125" bestFit="1" customWidth="1"/>
    <col min="3587" max="3587" width="27" bestFit="1" customWidth="1"/>
    <col min="3588" max="3588" width="21" customWidth="1"/>
    <col min="3589" max="3589" width="18.6640625" customWidth="1"/>
    <col min="3590" max="3590" width="8.6640625" bestFit="1" customWidth="1"/>
    <col min="3591" max="3591" width="10" customWidth="1"/>
    <col min="3592" max="3592" width="8.109375" customWidth="1"/>
    <col min="3841" max="3841" width="17.33203125" bestFit="1" customWidth="1"/>
    <col min="3842" max="3842" width="14.33203125" bestFit="1" customWidth="1"/>
    <col min="3843" max="3843" width="27" bestFit="1" customWidth="1"/>
    <col min="3844" max="3844" width="21" customWidth="1"/>
    <col min="3845" max="3845" width="18.6640625" customWidth="1"/>
    <col min="3846" max="3846" width="8.6640625" bestFit="1" customWidth="1"/>
    <col min="3847" max="3847" width="10" customWidth="1"/>
    <col min="3848" max="3848" width="8.109375" customWidth="1"/>
    <col min="4097" max="4097" width="17.33203125" bestFit="1" customWidth="1"/>
    <col min="4098" max="4098" width="14.33203125" bestFit="1" customWidth="1"/>
    <col min="4099" max="4099" width="27" bestFit="1" customWidth="1"/>
    <col min="4100" max="4100" width="21" customWidth="1"/>
    <col min="4101" max="4101" width="18.6640625" customWidth="1"/>
    <col min="4102" max="4102" width="8.6640625" bestFit="1" customWidth="1"/>
    <col min="4103" max="4103" width="10" customWidth="1"/>
    <col min="4104" max="4104" width="8.109375" customWidth="1"/>
    <col min="4353" max="4353" width="17.33203125" bestFit="1" customWidth="1"/>
    <col min="4354" max="4354" width="14.33203125" bestFit="1" customWidth="1"/>
    <col min="4355" max="4355" width="27" bestFit="1" customWidth="1"/>
    <col min="4356" max="4356" width="21" customWidth="1"/>
    <col min="4357" max="4357" width="18.6640625" customWidth="1"/>
    <col min="4358" max="4358" width="8.6640625" bestFit="1" customWidth="1"/>
    <col min="4359" max="4359" width="10" customWidth="1"/>
    <col min="4360" max="4360" width="8.109375" customWidth="1"/>
    <col min="4609" max="4609" width="17.33203125" bestFit="1" customWidth="1"/>
    <col min="4610" max="4610" width="14.33203125" bestFit="1" customWidth="1"/>
    <col min="4611" max="4611" width="27" bestFit="1" customWidth="1"/>
    <col min="4612" max="4612" width="21" customWidth="1"/>
    <col min="4613" max="4613" width="18.6640625" customWidth="1"/>
    <col min="4614" max="4614" width="8.6640625" bestFit="1" customWidth="1"/>
    <col min="4615" max="4615" width="10" customWidth="1"/>
    <col min="4616" max="4616" width="8.109375" customWidth="1"/>
    <col min="4865" max="4865" width="17.33203125" bestFit="1" customWidth="1"/>
    <col min="4866" max="4866" width="14.33203125" bestFit="1" customWidth="1"/>
    <col min="4867" max="4867" width="27" bestFit="1" customWidth="1"/>
    <col min="4868" max="4868" width="21" customWidth="1"/>
    <col min="4869" max="4869" width="18.6640625" customWidth="1"/>
    <col min="4870" max="4870" width="8.6640625" bestFit="1" customWidth="1"/>
    <col min="4871" max="4871" width="10" customWidth="1"/>
    <col min="4872" max="4872" width="8.109375" customWidth="1"/>
    <col min="5121" max="5121" width="17.33203125" bestFit="1" customWidth="1"/>
    <col min="5122" max="5122" width="14.33203125" bestFit="1" customWidth="1"/>
    <col min="5123" max="5123" width="27" bestFit="1" customWidth="1"/>
    <col min="5124" max="5124" width="21" customWidth="1"/>
    <col min="5125" max="5125" width="18.6640625" customWidth="1"/>
    <col min="5126" max="5126" width="8.6640625" bestFit="1" customWidth="1"/>
    <col min="5127" max="5127" width="10" customWidth="1"/>
    <col min="5128" max="5128" width="8.109375" customWidth="1"/>
    <col min="5377" max="5377" width="17.33203125" bestFit="1" customWidth="1"/>
    <col min="5378" max="5378" width="14.33203125" bestFit="1" customWidth="1"/>
    <col min="5379" max="5379" width="27" bestFit="1" customWidth="1"/>
    <col min="5380" max="5380" width="21" customWidth="1"/>
    <col min="5381" max="5381" width="18.6640625" customWidth="1"/>
    <col min="5382" max="5382" width="8.6640625" bestFit="1" customWidth="1"/>
    <col min="5383" max="5383" width="10" customWidth="1"/>
    <col min="5384" max="5384" width="8.109375" customWidth="1"/>
    <col min="5633" max="5633" width="17.33203125" bestFit="1" customWidth="1"/>
    <col min="5634" max="5634" width="14.33203125" bestFit="1" customWidth="1"/>
    <col min="5635" max="5635" width="27" bestFit="1" customWidth="1"/>
    <col min="5636" max="5636" width="21" customWidth="1"/>
    <col min="5637" max="5637" width="18.6640625" customWidth="1"/>
    <col min="5638" max="5638" width="8.6640625" bestFit="1" customWidth="1"/>
    <col min="5639" max="5639" width="10" customWidth="1"/>
    <col min="5640" max="5640" width="8.109375" customWidth="1"/>
    <col min="5889" max="5889" width="17.33203125" bestFit="1" customWidth="1"/>
    <col min="5890" max="5890" width="14.33203125" bestFit="1" customWidth="1"/>
    <col min="5891" max="5891" width="27" bestFit="1" customWidth="1"/>
    <col min="5892" max="5892" width="21" customWidth="1"/>
    <col min="5893" max="5893" width="18.6640625" customWidth="1"/>
    <col min="5894" max="5894" width="8.6640625" bestFit="1" customWidth="1"/>
    <col min="5895" max="5895" width="10" customWidth="1"/>
    <col min="5896" max="5896" width="8.109375" customWidth="1"/>
    <col min="6145" max="6145" width="17.33203125" bestFit="1" customWidth="1"/>
    <col min="6146" max="6146" width="14.33203125" bestFit="1" customWidth="1"/>
    <col min="6147" max="6147" width="27" bestFit="1" customWidth="1"/>
    <col min="6148" max="6148" width="21" customWidth="1"/>
    <col min="6149" max="6149" width="18.6640625" customWidth="1"/>
    <col min="6150" max="6150" width="8.6640625" bestFit="1" customWidth="1"/>
    <col min="6151" max="6151" width="10" customWidth="1"/>
    <col min="6152" max="6152" width="8.109375" customWidth="1"/>
    <col min="6401" max="6401" width="17.33203125" bestFit="1" customWidth="1"/>
    <col min="6402" max="6402" width="14.33203125" bestFit="1" customWidth="1"/>
    <col min="6403" max="6403" width="27" bestFit="1" customWidth="1"/>
    <col min="6404" max="6404" width="21" customWidth="1"/>
    <col min="6405" max="6405" width="18.6640625" customWidth="1"/>
    <col min="6406" max="6406" width="8.6640625" bestFit="1" customWidth="1"/>
    <col min="6407" max="6407" width="10" customWidth="1"/>
    <col min="6408" max="6408" width="8.109375" customWidth="1"/>
    <col min="6657" max="6657" width="17.33203125" bestFit="1" customWidth="1"/>
    <col min="6658" max="6658" width="14.33203125" bestFit="1" customWidth="1"/>
    <col min="6659" max="6659" width="27" bestFit="1" customWidth="1"/>
    <col min="6660" max="6660" width="21" customWidth="1"/>
    <col min="6661" max="6661" width="18.6640625" customWidth="1"/>
    <col min="6662" max="6662" width="8.6640625" bestFit="1" customWidth="1"/>
    <col min="6663" max="6663" width="10" customWidth="1"/>
    <col min="6664" max="6664" width="8.109375" customWidth="1"/>
    <col min="6913" max="6913" width="17.33203125" bestFit="1" customWidth="1"/>
    <col min="6914" max="6914" width="14.33203125" bestFit="1" customWidth="1"/>
    <col min="6915" max="6915" width="27" bestFit="1" customWidth="1"/>
    <col min="6916" max="6916" width="21" customWidth="1"/>
    <col min="6917" max="6917" width="18.6640625" customWidth="1"/>
    <col min="6918" max="6918" width="8.6640625" bestFit="1" customWidth="1"/>
    <col min="6919" max="6919" width="10" customWidth="1"/>
    <col min="6920" max="6920" width="8.109375" customWidth="1"/>
    <col min="7169" max="7169" width="17.33203125" bestFit="1" customWidth="1"/>
    <col min="7170" max="7170" width="14.33203125" bestFit="1" customWidth="1"/>
    <col min="7171" max="7171" width="27" bestFit="1" customWidth="1"/>
    <col min="7172" max="7172" width="21" customWidth="1"/>
    <col min="7173" max="7173" width="18.6640625" customWidth="1"/>
    <col min="7174" max="7174" width="8.6640625" bestFit="1" customWidth="1"/>
    <col min="7175" max="7175" width="10" customWidth="1"/>
    <col min="7176" max="7176" width="8.109375" customWidth="1"/>
    <col min="7425" max="7425" width="17.33203125" bestFit="1" customWidth="1"/>
    <col min="7426" max="7426" width="14.33203125" bestFit="1" customWidth="1"/>
    <col min="7427" max="7427" width="27" bestFit="1" customWidth="1"/>
    <col min="7428" max="7428" width="21" customWidth="1"/>
    <col min="7429" max="7429" width="18.6640625" customWidth="1"/>
    <col min="7430" max="7430" width="8.6640625" bestFit="1" customWidth="1"/>
    <col min="7431" max="7431" width="10" customWidth="1"/>
    <col min="7432" max="7432" width="8.109375" customWidth="1"/>
    <col min="7681" max="7681" width="17.33203125" bestFit="1" customWidth="1"/>
    <col min="7682" max="7682" width="14.33203125" bestFit="1" customWidth="1"/>
    <col min="7683" max="7683" width="27" bestFit="1" customWidth="1"/>
    <col min="7684" max="7684" width="21" customWidth="1"/>
    <col min="7685" max="7685" width="18.6640625" customWidth="1"/>
    <col min="7686" max="7686" width="8.6640625" bestFit="1" customWidth="1"/>
    <col min="7687" max="7687" width="10" customWidth="1"/>
    <col min="7688" max="7688" width="8.109375" customWidth="1"/>
    <col min="7937" max="7937" width="17.33203125" bestFit="1" customWidth="1"/>
    <col min="7938" max="7938" width="14.33203125" bestFit="1" customWidth="1"/>
    <col min="7939" max="7939" width="27" bestFit="1" customWidth="1"/>
    <col min="7940" max="7940" width="21" customWidth="1"/>
    <col min="7941" max="7941" width="18.6640625" customWidth="1"/>
    <col min="7942" max="7942" width="8.6640625" bestFit="1" customWidth="1"/>
    <col min="7943" max="7943" width="10" customWidth="1"/>
    <col min="7944" max="7944" width="8.109375" customWidth="1"/>
    <col min="8193" max="8193" width="17.33203125" bestFit="1" customWidth="1"/>
    <col min="8194" max="8194" width="14.33203125" bestFit="1" customWidth="1"/>
    <col min="8195" max="8195" width="27" bestFit="1" customWidth="1"/>
    <col min="8196" max="8196" width="21" customWidth="1"/>
    <col min="8197" max="8197" width="18.6640625" customWidth="1"/>
    <col min="8198" max="8198" width="8.6640625" bestFit="1" customWidth="1"/>
    <col min="8199" max="8199" width="10" customWidth="1"/>
    <col min="8200" max="8200" width="8.109375" customWidth="1"/>
    <col min="8449" max="8449" width="17.33203125" bestFit="1" customWidth="1"/>
    <col min="8450" max="8450" width="14.33203125" bestFit="1" customWidth="1"/>
    <col min="8451" max="8451" width="27" bestFit="1" customWidth="1"/>
    <col min="8452" max="8452" width="21" customWidth="1"/>
    <col min="8453" max="8453" width="18.6640625" customWidth="1"/>
    <col min="8454" max="8454" width="8.6640625" bestFit="1" customWidth="1"/>
    <col min="8455" max="8455" width="10" customWidth="1"/>
    <col min="8456" max="8456" width="8.109375" customWidth="1"/>
    <col min="8705" max="8705" width="17.33203125" bestFit="1" customWidth="1"/>
    <col min="8706" max="8706" width="14.33203125" bestFit="1" customWidth="1"/>
    <col min="8707" max="8707" width="27" bestFit="1" customWidth="1"/>
    <col min="8708" max="8708" width="21" customWidth="1"/>
    <col min="8709" max="8709" width="18.6640625" customWidth="1"/>
    <col min="8710" max="8710" width="8.6640625" bestFit="1" customWidth="1"/>
    <col min="8711" max="8711" width="10" customWidth="1"/>
    <col min="8712" max="8712" width="8.109375" customWidth="1"/>
    <col min="8961" max="8961" width="17.33203125" bestFit="1" customWidth="1"/>
    <col min="8962" max="8962" width="14.33203125" bestFit="1" customWidth="1"/>
    <col min="8963" max="8963" width="27" bestFit="1" customWidth="1"/>
    <col min="8964" max="8964" width="21" customWidth="1"/>
    <col min="8965" max="8965" width="18.6640625" customWidth="1"/>
    <col min="8966" max="8966" width="8.6640625" bestFit="1" customWidth="1"/>
    <col min="8967" max="8967" width="10" customWidth="1"/>
    <col min="8968" max="8968" width="8.109375" customWidth="1"/>
    <col min="9217" max="9217" width="17.33203125" bestFit="1" customWidth="1"/>
    <col min="9218" max="9218" width="14.33203125" bestFit="1" customWidth="1"/>
    <col min="9219" max="9219" width="27" bestFit="1" customWidth="1"/>
    <col min="9220" max="9220" width="21" customWidth="1"/>
    <col min="9221" max="9221" width="18.6640625" customWidth="1"/>
    <col min="9222" max="9222" width="8.6640625" bestFit="1" customWidth="1"/>
    <col min="9223" max="9223" width="10" customWidth="1"/>
    <col min="9224" max="9224" width="8.109375" customWidth="1"/>
    <col min="9473" max="9473" width="17.33203125" bestFit="1" customWidth="1"/>
    <col min="9474" max="9474" width="14.33203125" bestFit="1" customWidth="1"/>
    <col min="9475" max="9475" width="27" bestFit="1" customWidth="1"/>
    <col min="9476" max="9476" width="21" customWidth="1"/>
    <col min="9477" max="9477" width="18.6640625" customWidth="1"/>
    <col min="9478" max="9478" width="8.6640625" bestFit="1" customWidth="1"/>
    <col min="9479" max="9479" width="10" customWidth="1"/>
    <col min="9480" max="9480" width="8.109375" customWidth="1"/>
    <col min="9729" max="9729" width="17.33203125" bestFit="1" customWidth="1"/>
    <col min="9730" max="9730" width="14.33203125" bestFit="1" customWidth="1"/>
    <col min="9731" max="9731" width="27" bestFit="1" customWidth="1"/>
    <col min="9732" max="9732" width="21" customWidth="1"/>
    <col min="9733" max="9733" width="18.6640625" customWidth="1"/>
    <col min="9734" max="9734" width="8.6640625" bestFit="1" customWidth="1"/>
    <col min="9735" max="9735" width="10" customWidth="1"/>
    <col min="9736" max="9736" width="8.109375" customWidth="1"/>
    <col min="9985" max="9985" width="17.33203125" bestFit="1" customWidth="1"/>
    <col min="9986" max="9986" width="14.33203125" bestFit="1" customWidth="1"/>
    <col min="9987" max="9987" width="27" bestFit="1" customWidth="1"/>
    <col min="9988" max="9988" width="21" customWidth="1"/>
    <col min="9989" max="9989" width="18.6640625" customWidth="1"/>
    <col min="9990" max="9990" width="8.6640625" bestFit="1" customWidth="1"/>
    <col min="9991" max="9991" width="10" customWidth="1"/>
    <col min="9992" max="9992" width="8.109375" customWidth="1"/>
    <col min="10241" max="10241" width="17.33203125" bestFit="1" customWidth="1"/>
    <col min="10242" max="10242" width="14.33203125" bestFit="1" customWidth="1"/>
    <col min="10243" max="10243" width="27" bestFit="1" customWidth="1"/>
    <col min="10244" max="10244" width="21" customWidth="1"/>
    <col min="10245" max="10245" width="18.6640625" customWidth="1"/>
    <col min="10246" max="10246" width="8.6640625" bestFit="1" customWidth="1"/>
    <col min="10247" max="10247" width="10" customWidth="1"/>
    <col min="10248" max="10248" width="8.109375" customWidth="1"/>
    <col min="10497" max="10497" width="17.33203125" bestFit="1" customWidth="1"/>
    <col min="10498" max="10498" width="14.33203125" bestFit="1" customWidth="1"/>
    <col min="10499" max="10499" width="27" bestFit="1" customWidth="1"/>
    <col min="10500" max="10500" width="21" customWidth="1"/>
    <col min="10501" max="10501" width="18.6640625" customWidth="1"/>
    <col min="10502" max="10502" width="8.6640625" bestFit="1" customWidth="1"/>
    <col min="10503" max="10503" width="10" customWidth="1"/>
    <col min="10504" max="10504" width="8.109375" customWidth="1"/>
    <col min="10753" max="10753" width="17.33203125" bestFit="1" customWidth="1"/>
    <col min="10754" max="10754" width="14.33203125" bestFit="1" customWidth="1"/>
    <col min="10755" max="10755" width="27" bestFit="1" customWidth="1"/>
    <col min="10756" max="10756" width="21" customWidth="1"/>
    <col min="10757" max="10757" width="18.6640625" customWidth="1"/>
    <col min="10758" max="10758" width="8.6640625" bestFit="1" customWidth="1"/>
    <col min="10759" max="10759" width="10" customWidth="1"/>
    <col min="10760" max="10760" width="8.109375" customWidth="1"/>
    <col min="11009" max="11009" width="17.33203125" bestFit="1" customWidth="1"/>
    <col min="11010" max="11010" width="14.33203125" bestFit="1" customWidth="1"/>
    <col min="11011" max="11011" width="27" bestFit="1" customWidth="1"/>
    <col min="11012" max="11012" width="21" customWidth="1"/>
    <col min="11013" max="11013" width="18.6640625" customWidth="1"/>
    <col min="11014" max="11014" width="8.6640625" bestFit="1" customWidth="1"/>
    <col min="11015" max="11015" width="10" customWidth="1"/>
    <col min="11016" max="11016" width="8.109375" customWidth="1"/>
    <col min="11265" max="11265" width="17.33203125" bestFit="1" customWidth="1"/>
    <col min="11266" max="11266" width="14.33203125" bestFit="1" customWidth="1"/>
    <col min="11267" max="11267" width="27" bestFit="1" customWidth="1"/>
    <col min="11268" max="11268" width="21" customWidth="1"/>
    <col min="11269" max="11269" width="18.6640625" customWidth="1"/>
    <col min="11270" max="11270" width="8.6640625" bestFit="1" customWidth="1"/>
    <col min="11271" max="11271" width="10" customWidth="1"/>
    <col min="11272" max="11272" width="8.109375" customWidth="1"/>
    <col min="11521" max="11521" width="17.33203125" bestFit="1" customWidth="1"/>
    <col min="11522" max="11522" width="14.33203125" bestFit="1" customWidth="1"/>
    <col min="11523" max="11523" width="27" bestFit="1" customWidth="1"/>
    <col min="11524" max="11524" width="21" customWidth="1"/>
    <col min="11525" max="11525" width="18.6640625" customWidth="1"/>
    <col min="11526" max="11526" width="8.6640625" bestFit="1" customWidth="1"/>
    <col min="11527" max="11527" width="10" customWidth="1"/>
    <col min="11528" max="11528" width="8.109375" customWidth="1"/>
    <col min="11777" max="11777" width="17.33203125" bestFit="1" customWidth="1"/>
    <col min="11778" max="11778" width="14.33203125" bestFit="1" customWidth="1"/>
    <col min="11779" max="11779" width="27" bestFit="1" customWidth="1"/>
    <col min="11780" max="11780" width="21" customWidth="1"/>
    <col min="11781" max="11781" width="18.6640625" customWidth="1"/>
    <col min="11782" max="11782" width="8.6640625" bestFit="1" customWidth="1"/>
    <col min="11783" max="11783" width="10" customWidth="1"/>
    <col min="11784" max="11784" width="8.109375" customWidth="1"/>
    <col min="12033" max="12033" width="17.33203125" bestFit="1" customWidth="1"/>
    <col min="12034" max="12034" width="14.33203125" bestFit="1" customWidth="1"/>
    <col min="12035" max="12035" width="27" bestFit="1" customWidth="1"/>
    <col min="12036" max="12036" width="21" customWidth="1"/>
    <col min="12037" max="12037" width="18.6640625" customWidth="1"/>
    <col min="12038" max="12038" width="8.6640625" bestFit="1" customWidth="1"/>
    <col min="12039" max="12039" width="10" customWidth="1"/>
    <col min="12040" max="12040" width="8.109375" customWidth="1"/>
    <col min="12289" max="12289" width="17.33203125" bestFit="1" customWidth="1"/>
    <col min="12290" max="12290" width="14.33203125" bestFit="1" customWidth="1"/>
    <col min="12291" max="12291" width="27" bestFit="1" customWidth="1"/>
    <col min="12292" max="12292" width="21" customWidth="1"/>
    <col min="12293" max="12293" width="18.6640625" customWidth="1"/>
    <col min="12294" max="12294" width="8.6640625" bestFit="1" customWidth="1"/>
    <col min="12295" max="12295" width="10" customWidth="1"/>
    <col min="12296" max="12296" width="8.109375" customWidth="1"/>
    <col min="12545" max="12545" width="17.33203125" bestFit="1" customWidth="1"/>
    <col min="12546" max="12546" width="14.33203125" bestFit="1" customWidth="1"/>
    <col min="12547" max="12547" width="27" bestFit="1" customWidth="1"/>
    <col min="12548" max="12548" width="21" customWidth="1"/>
    <col min="12549" max="12549" width="18.6640625" customWidth="1"/>
    <col min="12550" max="12550" width="8.6640625" bestFit="1" customWidth="1"/>
    <col min="12551" max="12551" width="10" customWidth="1"/>
    <col min="12552" max="12552" width="8.109375" customWidth="1"/>
    <col min="12801" max="12801" width="17.33203125" bestFit="1" customWidth="1"/>
    <col min="12802" max="12802" width="14.33203125" bestFit="1" customWidth="1"/>
    <col min="12803" max="12803" width="27" bestFit="1" customWidth="1"/>
    <col min="12804" max="12804" width="21" customWidth="1"/>
    <col min="12805" max="12805" width="18.6640625" customWidth="1"/>
    <col min="12806" max="12806" width="8.6640625" bestFit="1" customWidth="1"/>
    <col min="12807" max="12807" width="10" customWidth="1"/>
    <col min="12808" max="12808" width="8.109375" customWidth="1"/>
    <col min="13057" max="13057" width="17.33203125" bestFit="1" customWidth="1"/>
    <col min="13058" max="13058" width="14.33203125" bestFit="1" customWidth="1"/>
    <col min="13059" max="13059" width="27" bestFit="1" customWidth="1"/>
    <col min="13060" max="13060" width="21" customWidth="1"/>
    <col min="13061" max="13061" width="18.6640625" customWidth="1"/>
    <col min="13062" max="13062" width="8.6640625" bestFit="1" customWidth="1"/>
    <col min="13063" max="13063" width="10" customWidth="1"/>
    <col min="13064" max="13064" width="8.109375" customWidth="1"/>
    <col min="13313" max="13313" width="17.33203125" bestFit="1" customWidth="1"/>
    <col min="13314" max="13314" width="14.33203125" bestFit="1" customWidth="1"/>
    <col min="13315" max="13315" width="27" bestFit="1" customWidth="1"/>
    <col min="13316" max="13316" width="21" customWidth="1"/>
    <col min="13317" max="13317" width="18.6640625" customWidth="1"/>
    <col min="13318" max="13318" width="8.6640625" bestFit="1" customWidth="1"/>
    <col min="13319" max="13319" width="10" customWidth="1"/>
    <col min="13320" max="13320" width="8.109375" customWidth="1"/>
    <col min="13569" max="13569" width="17.33203125" bestFit="1" customWidth="1"/>
    <col min="13570" max="13570" width="14.33203125" bestFit="1" customWidth="1"/>
    <col min="13571" max="13571" width="27" bestFit="1" customWidth="1"/>
    <col min="13572" max="13572" width="21" customWidth="1"/>
    <col min="13573" max="13573" width="18.6640625" customWidth="1"/>
    <col min="13574" max="13574" width="8.6640625" bestFit="1" customWidth="1"/>
    <col min="13575" max="13575" width="10" customWidth="1"/>
    <col min="13576" max="13576" width="8.109375" customWidth="1"/>
    <col min="13825" max="13825" width="17.33203125" bestFit="1" customWidth="1"/>
    <col min="13826" max="13826" width="14.33203125" bestFit="1" customWidth="1"/>
    <col min="13827" max="13827" width="27" bestFit="1" customWidth="1"/>
    <col min="13828" max="13828" width="21" customWidth="1"/>
    <col min="13829" max="13829" width="18.6640625" customWidth="1"/>
    <col min="13830" max="13830" width="8.6640625" bestFit="1" customWidth="1"/>
    <col min="13831" max="13831" width="10" customWidth="1"/>
    <col min="13832" max="13832" width="8.109375" customWidth="1"/>
    <col min="14081" max="14081" width="17.33203125" bestFit="1" customWidth="1"/>
    <col min="14082" max="14082" width="14.33203125" bestFit="1" customWidth="1"/>
    <col min="14083" max="14083" width="27" bestFit="1" customWidth="1"/>
    <col min="14084" max="14084" width="21" customWidth="1"/>
    <col min="14085" max="14085" width="18.6640625" customWidth="1"/>
    <col min="14086" max="14086" width="8.6640625" bestFit="1" customWidth="1"/>
    <col min="14087" max="14087" width="10" customWidth="1"/>
    <col min="14088" max="14088" width="8.109375" customWidth="1"/>
    <col min="14337" max="14337" width="17.33203125" bestFit="1" customWidth="1"/>
    <col min="14338" max="14338" width="14.33203125" bestFit="1" customWidth="1"/>
    <col min="14339" max="14339" width="27" bestFit="1" customWidth="1"/>
    <col min="14340" max="14340" width="21" customWidth="1"/>
    <col min="14341" max="14341" width="18.6640625" customWidth="1"/>
    <col min="14342" max="14342" width="8.6640625" bestFit="1" customWidth="1"/>
    <col min="14343" max="14343" width="10" customWidth="1"/>
    <col min="14344" max="14344" width="8.109375" customWidth="1"/>
    <col min="14593" max="14593" width="17.33203125" bestFit="1" customWidth="1"/>
    <col min="14594" max="14594" width="14.33203125" bestFit="1" customWidth="1"/>
    <col min="14595" max="14595" width="27" bestFit="1" customWidth="1"/>
    <col min="14596" max="14596" width="21" customWidth="1"/>
    <col min="14597" max="14597" width="18.6640625" customWidth="1"/>
    <col min="14598" max="14598" width="8.6640625" bestFit="1" customWidth="1"/>
    <col min="14599" max="14599" width="10" customWidth="1"/>
    <col min="14600" max="14600" width="8.109375" customWidth="1"/>
    <col min="14849" max="14849" width="17.33203125" bestFit="1" customWidth="1"/>
    <col min="14850" max="14850" width="14.33203125" bestFit="1" customWidth="1"/>
    <col min="14851" max="14851" width="27" bestFit="1" customWidth="1"/>
    <col min="14852" max="14852" width="21" customWidth="1"/>
    <col min="14853" max="14853" width="18.6640625" customWidth="1"/>
    <col min="14854" max="14854" width="8.6640625" bestFit="1" customWidth="1"/>
    <col min="14855" max="14855" width="10" customWidth="1"/>
    <col min="14856" max="14856" width="8.109375" customWidth="1"/>
    <col min="15105" max="15105" width="17.33203125" bestFit="1" customWidth="1"/>
    <col min="15106" max="15106" width="14.33203125" bestFit="1" customWidth="1"/>
    <col min="15107" max="15107" width="27" bestFit="1" customWidth="1"/>
    <col min="15108" max="15108" width="21" customWidth="1"/>
    <col min="15109" max="15109" width="18.6640625" customWidth="1"/>
    <col min="15110" max="15110" width="8.6640625" bestFit="1" customWidth="1"/>
    <col min="15111" max="15111" width="10" customWidth="1"/>
    <col min="15112" max="15112" width="8.109375" customWidth="1"/>
    <col min="15361" max="15361" width="17.33203125" bestFit="1" customWidth="1"/>
    <col min="15362" max="15362" width="14.33203125" bestFit="1" customWidth="1"/>
    <col min="15363" max="15363" width="27" bestFit="1" customWidth="1"/>
    <col min="15364" max="15364" width="21" customWidth="1"/>
    <col min="15365" max="15365" width="18.6640625" customWidth="1"/>
    <col min="15366" max="15366" width="8.6640625" bestFit="1" customWidth="1"/>
    <col min="15367" max="15367" width="10" customWidth="1"/>
    <col min="15368" max="15368" width="8.109375" customWidth="1"/>
    <col min="15617" max="15617" width="17.33203125" bestFit="1" customWidth="1"/>
    <col min="15618" max="15618" width="14.33203125" bestFit="1" customWidth="1"/>
    <col min="15619" max="15619" width="27" bestFit="1" customWidth="1"/>
    <col min="15620" max="15620" width="21" customWidth="1"/>
    <col min="15621" max="15621" width="18.6640625" customWidth="1"/>
    <col min="15622" max="15622" width="8.6640625" bestFit="1" customWidth="1"/>
    <col min="15623" max="15623" width="10" customWidth="1"/>
    <col min="15624" max="15624" width="8.109375" customWidth="1"/>
    <col min="15873" max="15873" width="17.33203125" bestFit="1" customWidth="1"/>
    <col min="15874" max="15874" width="14.33203125" bestFit="1" customWidth="1"/>
    <col min="15875" max="15875" width="27" bestFit="1" customWidth="1"/>
    <col min="15876" max="15876" width="21" customWidth="1"/>
    <col min="15877" max="15877" width="18.6640625" customWidth="1"/>
    <col min="15878" max="15878" width="8.6640625" bestFit="1" customWidth="1"/>
    <col min="15879" max="15879" width="10" customWidth="1"/>
    <col min="15880" max="15880" width="8.109375" customWidth="1"/>
    <col min="16129" max="16129" width="17.33203125" bestFit="1" customWidth="1"/>
    <col min="16130" max="16130" width="14.33203125" bestFit="1" customWidth="1"/>
    <col min="16131" max="16131" width="27" bestFit="1" customWidth="1"/>
    <col min="16132" max="16132" width="21" customWidth="1"/>
    <col min="16133" max="16133" width="18.6640625" customWidth="1"/>
    <col min="16134" max="16134" width="8.6640625" bestFit="1" customWidth="1"/>
    <col min="16135" max="16135" width="10" customWidth="1"/>
    <col min="16136" max="16136" width="8.109375" customWidth="1"/>
  </cols>
  <sheetData>
    <row r="1" spans="1:6" s="6" customFormat="1" ht="30" customHeight="1" x14ac:dyDescent="0.3">
      <c r="A1" s="69" t="s">
        <v>227</v>
      </c>
    </row>
    <row r="2" spans="1:6" s="6" customFormat="1" ht="30" customHeight="1" x14ac:dyDescent="0.3">
      <c r="A2" s="11" t="s">
        <v>228</v>
      </c>
      <c r="C2" s="11" t="s">
        <v>43</v>
      </c>
    </row>
    <row r="3" spans="1:6" s="6" customFormat="1" ht="36" customHeight="1" x14ac:dyDescent="0.3">
      <c r="A3" s="11" t="s">
        <v>229</v>
      </c>
      <c r="C3" s="11" t="s">
        <v>43</v>
      </c>
    </row>
    <row r="4" spans="1:6" s="6" customFormat="1" ht="47.25" customHeight="1" x14ac:dyDescent="0.3">
      <c r="A4" s="11" t="s">
        <v>230</v>
      </c>
      <c r="C4" s="11" t="s">
        <v>231</v>
      </c>
      <c r="D4" s="9" t="s">
        <v>232</v>
      </c>
      <c r="E4" s="70" t="s">
        <v>233</v>
      </c>
    </row>
    <row r="5" spans="1:6" s="6" customFormat="1" ht="48.75" customHeight="1" x14ac:dyDescent="0.3">
      <c r="A5" s="11" t="s">
        <v>234</v>
      </c>
      <c r="C5" s="71" t="s">
        <v>231</v>
      </c>
      <c r="D5" s="8" t="s">
        <v>235</v>
      </c>
      <c r="E5" s="70" t="s">
        <v>233</v>
      </c>
      <c r="F5" s="6" t="s">
        <v>236</v>
      </c>
    </row>
    <row r="6" spans="1:6" ht="35.25" customHeight="1" x14ac:dyDescent="0.6">
      <c r="A6" s="18" t="s">
        <v>201</v>
      </c>
      <c r="B6" s="11" t="s">
        <v>237</v>
      </c>
      <c r="C6" s="4" t="s">
        <v>238</v>
      </c>
    </row>
    <row r="7" spans="1:6" ht="43.2" x14ac:dyDescent="0.3">
      <c r="A7" s="18" t="s">
        <v>239</v>
      </c>
      <c r="B7" s="11" t="s">
        <v>240</v>
      </c>
      <c r="D7" s="8" t="s">
        <v>241</v>
      </c>
      <c r="F7" s="6" t="s">
        <v>242</v>
      </c>
    </row>
    <row r="8" spans="1:6" ht="43.2" x14ac:dyDescent="0.3">
      <c r="A8" s="18" t="s">
        <v>243</v>
      </c>
      <c r="B8" s="11" t="s">
        <v>244</v>
      </c>
      <c r="D8" s="8" t="s">
        <v>241</v>
      </c>
      <c r="F8" s="6" t="s">
        <v>242</v>
      </c>
    </row>
    <row r="9" spans="1:6" ht="66" customHeight="1" x14ac:dyDescent="0.3">
      <c r="A9" s="11" t="s">
        <v>245</v>
      </c>
      <c r="C9" s="11" t="s">
        <v>43</v>
      </c>
    </row>
    <row r="10" spans="1:6" x14ac:dyDescent="0.3">
      <c r="A10" s="11" t="s">
        <v>246</v>
      </c>
      <c r="C10" s="11" t="s">
        <v>247</v>
      </c>
    </row>
  </sheetData>
  <pageMargins left="0.16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J18"/>
  <sheetViews>
    <sheetView view="pageBreakPreview" topLeftCell="A10" zoomScaleNormal="85" zoomScaleSheetLayoutView="100" workbookViewId="0">
      <selection activeCell="M16" sqref="M16"/>
    </sheetView>
  </sheetViews>
  <sheetFormatPr defaultRowHeight="14.4" x14ac:dyDescent="0.3"/>
  <cols>
    <col min="1" max="1" width="19.44140625" bestFit="1" customWidth="1"/>
    <col min="2" max="2" width="7" bestFit="1" customWidth="1"/>
    <col min="3" max="3" width="15.33203125" customWidth="1"/>
    <col min="4" max="4" width="8" bestFit="1" customWidth="1"/>
    <col min="5" max="5" width="15.109375" customWidth="1"/>
    <col min="6" max="6" width="11.44140625" bestFit="1" customWidth="1"/>
    <col min="7" max="7" width="19.33203125" bestFit="1" customWidth="1"/>
    <col min="8" max="8" width="9.5546875" bestFit="1" customWidth="1"/>
    <col min="9" max="9" width="8.88671875" bestFit="1" customWidth="1"/>
    <col min="10" max="10" width="12.44140625" bestFit="1" customWidth="1"/>
    <col min="11" max="11" width="10.6640625" customWidth="1"/>
    <col min="12" max="12" width="7.6640625" bestFit="1" customWidth="1"/>
    <col min="13" max="13" width="9" bestFit="1" customWidth="1"/>
    <col min="14" max="14" width="7.6640625" bestFit="1" customWidth="1"/>
    <col min="15" max="15" width="8.5546875" bestFit="1" customWidth="1"/>
    <col min="16" max="16" width="8.44140625" bestFit="1" customWidth="1"/>
  </cols>
  <sheetData>
    <row r="1" spans="1:10" ht="15.6" x14ac:dyDescent="0.3">
      <c r="A1" s="27" t="s">
        <v>111</v>
      </c>
    </row>
    <row r="2" spans="1:10" ht="68.25" customHeight="1" x14ac:dyDescent="0.6">
      <c r="A2" s="30" t="s">
        <v>125</v>
      </c>
      <c r="B2" s="31"/>
      <c r="C2" s="8" t="s">
        <v>127</v>
      </c>
      <c r="D2" s="37"/>
      <c r="E2" s="11" t="s">
        <v>126</v>
      </c>
      <c r="F2" s="38" t="s">
        <v>132</v>
      </c>
      <c r="G2" s="38" t="s">
        <v>128</v>
      </c>
      <c r="H2" s="38" t="s">
        <v>129</v>
      </c>
      <c r="I2" s="38" t="s">
        <v>130</v>
      </c>
      <c r="J2" s="39" t="s">
        <v>131</v>
      </c>
    </row>
    <row r="3" spans="1:10" ht="45" customHeight="1" x14ac:dyDescent="0.3">
      <c r="A3" s="36" t="s">
        <v>112</v>
      </c>
      <c r="C3" s="11" t="s">
        <v>51</v>
      </c>
      <c r="F3" s="130" t="s">
        <v>147</v>
      </c>
      <c r="G3" s="131"/>
      <c r="H3" s="131"/>
      <c r="I3" s="131"/>
      <c r="J3" s="132"/>
    </row>
    <row r="4" spans="1:10" ht="28.8" x14ac:dyDescent="0.3">
      <c r="A4" s="36" t="s">
        <v>113</v>
      </c>
      <c r="C4" s="11" t="s">
        <v>133</v>
      </c>
      <c r="E4" s="1" t="s">
        <v>134</v>
      </c>
    </row>
    <row r="5" spans="1:10" ht="38.25" customHeight="1" x14ac:dyDescent="0.3">
      <c r="A5" s="36" t="s">
        <v>114</v>
      </c>
      <c r="C5" s="1">
        <v>12500</v>
      </c>
      <c r="G5" s="11" t="s">
        <v>135</v>
      </c>
    </row>
    <row r="6" spans="1:10" ht="39.75" customHeight="1" x14ac:dyDescent="0.3">
      <c r="A6" s="36" t="s">
        <v>115</v>
      </c>
      <c r="C6" s="1">
        <v>12700</v>
      </c>
      <c r="G6" s="11" t="s">
        <v>135</v>
      </c>
    </row>
    <row r="7" spans="1:10" ht="35.25" customHeight="1" x14ac:dyDescent="0.3">
      <c r="A7" s="36" t="s">
        <v>116</v>
      </c>
      <c r="C7" s="1">
        <v>200</v>
      </c>
      <c r="G7" s="11" t="s">
        <v>136</v>
      </c>
    </row>
    <row r="8" spans="1:10" ht="40.5" customHeight="1" x14ac:dyDescent="0.3">
      <c r="A8" s="36" t="s">
        <v>117</v>
      </c>
      <c r="C8" s="8" t="s">
        <v>86</v>
      </c>
      <c r="G8" s="11" t="s">
        <v>137</v>
      </c>
    </row>
    <row r="9" spans="1:10" ht="45" customHeight="1" x14ac:dyDescent="0.3">
      <c r="A9" s="36" t="s">
        <v>118</v>
      </c>
      <c r="C9" s="8" t="s">
        <v>138</v>
      </c>
      <c r="G9" s="11" t="s">
        <v>139</v>
      </c>
    </row>
    <row r="10" spans="1:10" ht="35.25" customHeight="1" x14ac:dyDescent="0.3">
      <c r="A10" s="36" t="s">
        <v>119</v>
      </c>
      <c r="B10" t="s">
        <v>146</v>
      </c>
      <c r="G10" s="11" t="s">
        <v>140</v>
      </c>
    </row>
    <row r="11" spans="1:10" ht="45.9" customHeight="1" x14ac:dyDescent="0.3">
      <c r="A11" s="36" t="s">
        <v>120</v>
      </c>
      <c r="G11" s="127" t="s">
        <v>141</v>
      </c>
    </row>
    <row r="12" spans="1:10" ht="45.9" customHeight="1" x14ac:dyDescent="0.3">
      <c r="A12" s="36" t="s">
        <v>121</v>
      </c>
      <c r="B12" t="s">
        <v>146</v>
      </c>
      <c r="G12" s="127"/>
    </row>
    <row r="13" spans="1:10" ht="45.9" customHeight="1" x14ac:dyDescent="0.3">
      <c r="A13" s="36" t="s">
        <v>122</v>
      </c>
      <c r="G13" s="128" t="s">
        <v>141</v>
      </c>
    </row>
    <row r="14" spans="1:10" ht="45.9" customHeight="1" x14ac:dyDescent="0.3">
      <c r="A14" s="36" t="s">
        <v>121</v>
      </c>
      <c r="B14" t="s">
        <v>146</v>
      </c>
      <c r="G14" s="128"/>
    </row>
    <row r="15" spans="1:10" ht="45.9" customHeight="1" x14ac:dyDescent="0.3">
      <c r="A15" s="36" t="s">
        <v>123</v>
      </c>
      <c r="G15" s="128" t="s">
        <v>142</v>
      </c>
    </row>
    <row r="16" spans="1:10" ht="45.9" customHeight="1" x14ac:dyDescent="0.3">
      <c r="A16" s="36" t="s">
        <v>121</v>
      </c>
      <c r="B16" t="s">
        <v>146</v>
      </c>
      <c r="G16" s="128"/>
    </row>
    <row r="17" spans="1:7" ht="29.25" customHeight="1" x14ac:dyDescent="0.3">
      <c r="A17" s="36" t="s">
        <v>124</v>
      </c>
      <c r="C17" s="129"/>
      <c r="D17" s="129"/>
      <c r="E17" s="129"/>
      <c r="F17" s="129"/>
    </row>
    <row r="18" spans="1:7" ht="36" customHeight="1" x14ac:dyDescent="0.3">
      <c r="A18" s="36" t="s">
        <v>143</v>
      </c>
      <c r="C18" s="40" t="s">
        <v>86</v>
      </c>
      <c r="F18" s="41" t="s">
        <v>145</v>
      </c>
      <c r="G18" s="11" t="s">
        <v>144</v>
      </c>
    </row>
  </sheetData>
  <mergeCells count="5">
    <mergeCell ref="G11:G12"/>
    <mergeCell ref="G13:G14"/>
    <mergeCell ref="G15:G16"/>
    <mergeCell ref="C17:F17"/>
    <mergeCell ref="F3:J3"/>
  </mergeCells>
  <pageMargins left="0.7" right="0.7" top="0.27" bottom="0.22" header="0.22" footer="0.16"/>
  <pageSetup paperSize="9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U23"/>
  <sheetViews>
    <sheetView view="pageBreakPreview" zoomScale="85" zoomScaleNormal="100" zoomScaleSheetLayoutView="85" workbookViewId="0">
      <selection activeCell="I10" sqref="I10"/>
    </sheetView>
  </sheetViews>
  <sheetFormatPr defaultRowHeight="14.4" x14ac:dyDescent="0.3"/>
  <cols>
    <col min="1" max="1" width="18.6640625" style="61" bestFit="1" customWidth="1"/>
    <col min="2" max="2" width="5.6640625" style="61" customWidth="1"/>
    <col min="3" max="3" width="23.44140625" style="61" bestFit="1" customWidth="1"/>
    <col min="4" max="4" width="24.5546875" style="61" bestFit="1" customWidth="1"/>
    <col min="5" max="5" width="7.44140625" style="61" customWidth="1"/>
    <col min="6" max="6" width="8.44140625" style="61" customWidth="1"/>
    <col min="7" max="7" width="4.109375" style="61" bestFit="1" customWidth="1"/>
    <col min="8" max="8" width="7.6640625" style="61" customWidth="1"/>
    <col min="9" max="9" width="11.5546875" style="61" customWidth="1"/>
    <col min="10" max="10" width="14.5546875" bestFit="1" customWidth="1"/>
    <col min="11" max="11" width="5.5546875" bestFit="1" customWidth="1"/>
    <col min="12" max="12" width="8.88671875" bestFit="1" customWidth="1"/>
    <col min="13" max="13" width="6" bestFit="1" customWidth="1"/>
    <col min="14" max="14" width="6.6640625" bestFit="1" customWidth="1"/>
    <col min="15" max="15" width="9" bestFit="1" customWidth="1"/>
    <col min="16" max="16" width="6" bestFit="1" customWidth="1"/>
    <col min="17" max="17" width="8.109375" bestFit="1" customWidth="1"/>
    <col min="18" max="18" width="22" bestFit="1" customWidth="1"/>
    <col min="19" max="19" width="15.5546875" bestFit="1" customWidth="1"/>
    <col min="20" max="20" width="4.109375" bestFit="1" customWidth="1"/>
    <col min="21" max="21" width="11.88671875" bestFit="1" customWidth="1"/>
  </cols>
  <sheetData>
    <row r="1" spans="1:21" ht="57" customHeight="1" x14ac:dyDescent="0.6">
      <c r="A1" s="68" t="s">
        <v>226</v>
      </c>
      <c r="B1" s="66"/>
      <c r="C1" s="67"/>
      <c r="D1" s="66"/>
      <c r="E1" s="66"/>
      <c r="F1" s="66"/>
      <c r="G1" s="66"/>
      <c r="H1" s="66"/>
      <c r="I1" s="66"/>
      <c r="J1" s="52" t="s">
        <v>225</v>
      </c>
      <c r="K1" s="52" t="s">
        <v>223</v>
      </c>
      <c r="L1" s="6" t="s">
        <v>198</v>
      </c>
      <c r="M1" s="52" t="s">
        <v>222</v>
      </c>
      <c r="N1" s="52" t="s">
        <v>219</v>
      </c>
      <c r="O1" s="52" t="s">
        <v>216</v>
      </c>
      <c r="P1" s="52" t="s">
        <v>209</v>
      </c>
      <c r="Q1" s="65" t="s">
        <v>213</v>
      </c>
      <c r="R1" s="64" t="s">
        <v>211</v>
      </c>
      <c r="S1" s="63" t="s">
        <v>210</v>
      </c>
      <c r="T1" s="76" t="s">
        <v>209</v>
      </c>
      <c r="U1" s="52" t="s">
        <v>207</v>
      </c>
    </row>
    <row r="2" spans="1:21" x14ac:dyDescent="0.3">
      <c r="J2" t="s">
        <v>261</v>
      </c>
      <c r="L2" t="s">
        <v>262</v>
      </c>
      <c r="M2" t="s">
        <v>264</v>
      </c>
      <c r="N2" t="s">
        <v>263</v>
      </c>
      <c r="P2" t="s">
        <v>265</v>
      </c>
    </row>
    <row r="4" spans="1:21" ht="37.200000000000003" x14ac:dyDescent="0.6">
      <c r="A4" s="52" t="s">
        <v>225</v>
      </c>
      <c r="C4" s="56" t="s">
        <v>224</v>
      </c>
      <c r="J4" s="1" t="s">
        <v>261</v>
      </c>
      <c r="K4" s="52" t="s">
        <v>223</v>
      </c>
      <c r="L4" s="1" t="s">
        <v>262</v>
      </c>
      <c r="M4" s="1" t="s">
        <v>264</v>
      </c>
      <c r="N4" s="1" t="s">
        <v>263</v>
      </c>
      <c r="O4" s="52" t="s">
        <v>216</v>
      </c>
      <c r="P4" s="1" t="s">
        <v>265</v>
      </c>
      <c r="Q4" s="79" t="s">
        <v>213</v>
      </c>
      <c r="R4" s="64" t="s">
        <v>211</v>
      </c>
      <c r="S4" s="79" t="s">
        <v>210</v>
      </c>
      <c r="T4" s="76" t="s">
        <v>209</v>
      </c>
      <c r="U4" s="52" t="s">
        <v>207</v>
      </c>
    </row>
    <row r="5" spans="1:21" x14ac:dyDescent="0.3">
      <c r="A5" s="52" t="s">
        <v>223</v>
      </c>
      <c r="D5" s="61" t="s">
        <v>178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3">
      <c r="A6" s="6" t="s">
        <v>198</v>
      </c>
      <c r="D6" s="11" t="s">
        <v>200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31.2" x14ac:dyDescent="0.3">
      <c r="A7" s="52" t="s">
        <v>222</v>
      </c>
      <c r="C7" s="56" t="s">
        <v>221</v>
      </c>
      <c r="D7" s="11" t="s">
        <v>220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1.2" x14ac:dyDescent="0.3">
      <c r="A8" s="52" t="s">
        <v>219</v>
      </c>
      <c r="C8" s="57" t="s">
        <v>218</v>
      </c>
      <c r="D8" s="11" t="s">
        <v>217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3">
      <c r="A9" s="52" t="s">
        <v>216</v>
      </c>
      <c r="C9" s="62" t="s">
        <v>215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3">
      <c r="A10" s="52" t="s">
        <v>209</v>
      </c>
      <c r="C10" s="62" t="s">
        <v>214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3">
      <c r="A11" s="65" t="s">
        <v>213</v>
      </c>
      <c r="C11" s="62" t="s">
        <v>212</v>
      </c>
      <c r="D11" s="62" t="s">
        <v>178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55.8" x14ac:dyDescent="0.6">
      <c r="A12" s="64" t="s">
        <v>211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28.8" x14ac:dyDescent="0.3">
      <c r="A13" s="63" t="s">
        <v>210</v>
      </c>
      <c r="D13" s="11" t="s">
        <v>206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">
      <c r="A14" s="76" t="s">
        <v>209</v>
      </c>
      <c r="B14" s="77"/>
      <c r="C14" s="78" t="s">
        <v>208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3">
      <c r="A15" s="52" t="s">
        <v>207</v>
      </c>
      <c r="D15" s="11" t="s">
        <v>206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3"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0:21" x14ac:dyDescent="0.3"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0:21" x14ac:dyDescent="0.3"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0:21" x14ac:dyDescent="0.3"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0:21" x14ac:dyDescent="0.3"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0:21" x14ac:dyDescent="0.3"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0:21" x14ac:dyDescent="0.3"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0:21" x14ac:dyDescent="0.3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</sheetData>
  <printOptions horizontalCentered="1" verticalCentered="1"/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A285-FD14-4A25-96EB-171FABB0A183}">
  <sheetPr>
    <tabColor rgb="FF00B050"/>
  </sheetPr>
  <dimension ref="A1:N139"/>
  <sheetViews>
    <sheetView view="pageBreakPreview" zoomScaleSheetLayoutView="100" workbookViewId="0">
      <pane ySplit="2" topLeftCell="A3" activePane="bottomLeft" state="frozen"/>
      <selection pane="bottomLeft" activeCell="H22" sqref="H22"/>
    </sheetView>
  </sheetViews>
  <sheetFormatPr defaultRowHeight="14.4" x14ac:dyDescent="0.3"/>
  <cols>
    <col min="1" max="1" width="6.88671875" style="61" bestFit="1" customWidth="1"/>
    <col min="2" max="2" width="22.5546875" style="95" customWidth="1"/>
    <col min="3" max="3" width="10.5546875" style="95" bestFit="1" customWidth="1"/>
    <col min="4" max="4" width="13.6640625" style="95" bestFit="1" customWidth="1"/>
    <col min="5" max="5" width="11" style="95" customWidth="1"/>
    <col min="6" max="6" width="10.44140625" style="95" customWidth="1"/>
    <col min="7" max="7" width="13.88671875" bestFit="1" customWidth="1"/>
    <col min="8" max="8" width="14.33203125" customWidth="1"/>
    <col min="9" max="11" width="13.109375" customWidth="1"/>
    <col min="12" max="13" width="10.5546875" style="95" bestFit="1" customWidth="1"/>
    <col min="14" max="14" width="9.6640625" style="61" customWidth="1"/>
    <col min="15" max="15" width="10.5546875" bestFit="1" customWidth="1"/>
    <col min="16" max="16" width="9.5546875" bestFit="1" customWidth="1"/>
    <col min="18" max="18" width="10.5546875" bestFit="1" customWidth="1"/>
  </cols>
  <sheetData>
    <row r="1" spans="1:14" ht="21" x14ac:dyDescent="0.3">
      <c r="A1" s="133" t="s">
        <v>398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</row>
    <row r="2" spans="1:14" s="95" customFormat="1" x14ac:dyDescent="0.3">
      <c r="A2" s="62" t="s">
        <v>399</v>
      </c>
      <c r="B2" s="38" t="s">
        <v>400</v>
      </c>
      <c r="C2" s="38" t="s">
        <v>401</v>
      </c>
      <c r="D2" s="38" t="s">
        <v>402</v>
      </c>
      <c r="E2" s="38" t="s">
        <v>403</v>
      </c>
      <c r="F2" s="38" t="s">
        <v>404</v>
      </c>
      <c r="G2" s="38" t="s">
        <v>405</v>
      </c>
      <c r="H2" s="38" t="s">
        <v>406</v>
      </c>
      <c r="I2" s="38" t="s">
        <v>407</v>
      </c>
      <c r="J2" s="38" t="s">
        <v>408</v>
      </c>
      <c r="K2" s="38" t="s">
        <v>409</v>
      </c>
      <c r="L2" s="38" t="s">
        <v>410</v>
      </c>
      <c r="M2" s="38" t="s">
        <v>411</v>
      </c>
      <c r="N2" s="62" t="s">
        <v>380</v>
      </c>
    </row>
    <row r="4" spans="1:14" ht="15.6" x14ac:dyDescent="0.3">
      <c r="A4" s="96">
        <v>1</v>
      </c>
      <c r="B4" s="97" t="s">
        <v>412</v>
      </c>
      <c r="C4" s="97"/>
      <c r="D4" s="97"/>
      <c r="E4" s="97"/>
      <c r="F4" s="97"/>
      <c r="G4" s="98"/>
      <c r="H4" s="98"/>
      <c r="I4" s="99"/>
      <c r="J4" s="99"/>
      <c r="K4" s="99"/>
      <c r="L4" s="100" t="s">
        <v>413</v>
      </c>
      <c r="M4" s="100" t="s">
        <v>413</v>
      </c>
      <c r="N4" s="100" t="s">
        <v>413</v>
      </c>
    </row>
    <row r="5" spans="1:14" x14ac:dyDescent="0.3">
      <c r="A5" s="96"/>
      <c r="B5" s="97" t="s">
        <v>414</v>
      </c>
      <c r="C5" s="97" t="s">
        <v>415</v>
      </c>
      <c r="D5" s="101">
        <v>10000</v>
      </c>
      <c r="E5" s="101">
        <f>D5*9%</f>
        <v>900</v>
      </c>
      <c r="F5" s="101">
        <f>D5*9%</f>
        <v>900</v>
      </c>
      <c r="G5" s="101"/>
      <c r="H5" s="101">
        <f>D5+E5+F5</f>
        <v>11800</v>
      </c>
      <c r="I5" s="101">
        <f>H5-J5-K5</f>
        <v>9600</v>
      </c>
      <c r="J5" s="101">
        <f>D5*10%</f>
        <v>1000</v>
      </c>
      <c r="K5" s="101">
        <f>(D5*10%)+(D5*2%)</f>
        <v>1200</v>
      </c>
      <c r="L5" s="102">
        <v>43546</v>
      </c>
      <c r="M5" s="102">
        <v>43586</v>
      </c>
      <c r="N5" s="96"/>
    </row>
    <row r="6" spans="1:14" x14ac:dyDescent="0.3">
      <c r="A6" s="96"/>
      <c r="B6" s="97" t="s">
        <v>414</v>
      </c>
      <c r="C6" s="97" t="s">
        <v>416</v>
      </c>
      <c r="D6" s="101">
        <v>45000</v>
      </c>
      <c r="E6" s="101">
        <f>D6*9%</f>
        <v>4050</v>
      </c>
      <c r="F6" s="101">
        <f>D6*9%</f>
        <v>4050</v>
      </c>
      <c r="G6" s="101"/>
      <c r="H6" s="101">
        <f>D6+E6+F6</f>
        <v>53100</v>
      </c>
      <c r="I6" s="101">
        <f>H6-J6-K6</f>
        <v>43200</v>
      </c>
      <c r="J6" s="101">
        <f>D6*10%</f>
        <v>4500</v>
      </c>
      <c r="K6" s="101">
        <f>(D6*10%)+(D6*2%)</f>
        <v>5400</v>
      </c>
      <c r="L6" s="102">
        <v>43613</v>
      </c>
      <c r="M6" s="102">
        <v>43762</v>
      </c>
      <c r="N6" s="96"/>
    </row>
    <row r="7" spans="1:14" ht="15.6" x14ac:dyDescent="0.3">
      <c r="A7" s="96"/>
      <c r="B7" s="97"/>
      <c r="C7" s="97"/>
      <c r="D7" s="97"/>
      <c r="E7" s="97"/>
      <c r="F7" s="97"/>
      <c r="G7" s="98">
        <f>SUM(G5:G6)</f>
        <v>0</v>
      </c>
      <c r="H7" s="98">
        <f>SUM(H5:H6)</f>
        <v>64900</v>
      </c>
      <c r="I7" s="99"/>
      <c r="J7" s="99"/>
      <c r="K7" s="99"/>
      <c r="L7" s="100" t="s">
        <v>413</v>
      </c>
      <c r="M7" s="100" t="s">
        <v>413</v>
      </c>
      <c r="N7" s="100" t="s">
        <v>413</v>
      </c>
    </row>
    <row r="8" spans="1:14" ht="15.6" x14ac:dyDescent="0.3">
      <c r="A8" s="96"/>
      <c r="B8" s="97"/>
      <c r="C8" s="97"/>
      <c r="D8" s="97"/>
      <c r="E8" s="97"/>
      <c r="F8" s="97"/>
      <c r="G8" s="98"/>
      <c r="H8" s="98"/>
      <c r="I8" s="99"/>
      <c r="J8" s="99"/>
      <c r="K8" s="99"/>
      <c r="L8" s="97"/>
      <c r="M8" s="97"/>
      <c r="N8" s="96"/>
    </row>
    <row r="9" spans="1:14" ht="15.6" x14ac:dyDescent="0.3">
      <c r="A9" s="96">
        <v>2</v>
      </c>
      <c r="B9" s="97" t="s">
        <v>417</v>
      </c>
      <c r="C9" s="97"/>
      <c r="D9" s="103"/>
      <c r="E9" s="103"/>
      <c r="F9" s="103"/>
      <c r="G9" s="98"/>
      <c r="H9" s="98"/>
      <c r="I9" s="99"/>
      <c r="J9" s="99"/>
      <c r="K9" s="99"/>
      <c r="L9" s="100" t="s">
        <v>413</v>
      </c>
      <c r="M9" s="100" t="s">
        <v>413</v>
      </c>
      <c r="N9" s="100" t="s">
        <v>413</v>
      </c>
    </row>
    <row r="10" spans="1:14" x14ac:dyDescent="0.3">
      <c r="A10" s="96"/>
      <c r="B10" s="97" t="s">
        <v>418</v>
      </c>
      <c r="C10" s="97" t="s">
        <v>419</v>
      </c>
      <c r="D10" s="104">
        <v>75000</v>
      </c>
      <c r="E10" s="101">
        <f>D10*9%</f>
        <v>6750</v>
      </c>
      <c r="F10" s="101">
        <f>D10*9%</f>
        <v>6750</v>
      </c>
      <c r="G10" s="101"/>
      <c r="H10" s="101">
        <f>D10+E10+F10</f>
        <v>88500</v>
      </c>
      <c r="I10" s="101">
        <f>H10-J10-K10</f>
        <v>79650</v>
      </c>
      <c r="J10" s="101">
        <v>0</v>
      </c>
      <c r="K10" s="101">
        <f>(H10*10%)</f>
        <v>8850</v>
      </c>
      <c r="L10" s="102">
        <v>45597</v>
      </c>
      <c r="M10" s="102">
        <v>45777</v>
      </c>
      <c r="N10" s="96"/>
    </row>
    <row r="11" spans="1:14" x14ac:dyDescent="0.3">
      <c r="A11" s="96"/>
      <c r="B11" s="97" t="s">
        <v>418</v>
      </c>
      <c r="C11" s="97" t="s">
        <v>419</v>
      </c>
      <c r="D11" s="104">
        <v>33300</v>
      </c>
      <c r="E11" s="101">
        <f>D11*9%</f>
        <v>2997</v>
      </c>
      <c r="F11" s="101">
        <f>D11*9%</f>
        <v>2997</v>
      </c>
      <c r="G11" s="105">
        <f>D11+E11+F11</f>
        <v>39294</v>
      </c>
      <c r="H11" s="105"/>
      <c r="I11" s="105"/>
      <c r="J11" s="105"/>
      <c r="K11" s="105"/>
      <c r="L11" s="102">
        <v>46043</v>
      </c>
      <c r="M11" s="102"/>
      <c r="N11" s="96" t="s">
        <v>420</v>
      </c>
    </row>
    <row r="12" spans="1:14" x14ac:dyDescent="0.3">
      <c r="A12" s="96"/>
      <c r="B12" s="97" t="s">
        <v>421</v>
      </c>
      <c r="C12" s="97" t="s">
        <v>422</v>
      </c>
      <c r="D12" s="104">
        <v>123900</v>
      </c>
      <c r="E12" s="101">
        <f t="shared" ref="E12:E13" si="0">D12*9%</f>
        <v>11151</v>
      </c>
      <c r="F12" s="101">
        <f t="shared" ref="F12:F13" si="1">D12*9%</f>
        <v>11151</v>
      </c>
      <c r="G12" s="105"/>
      <c r="H12" s="101">
        <f>D12+E12+F12</f>
        <v>146202</v>
      </c>
      <c r="I12" s="101">
        <f>H12-J12-K12</f>
        <v>131581.79999999999</v>
      </c>
      <c r="J12" s="101">
        <v>0</v>
      </c>
      <c r="K12" s="101">
        <f>(H12*10%)</f>
        <v>14620.2</v>
      </c>
      <c r="L12" s="102">
        <v>45860</v>
      </c>
      <c r="M12" s="102">
        <v>46107</v>
      </c>
      <c r="N12" s="96"/>
    </row>
    <row r="13" spans="1:14" x14ac:dyDescent="0.3">
      <c r="A13" s="96"/>
      <c r="B13" s="97" t="s">
        <v>423</v>
      </c>
      <c r="C13" s="97" t="s">
        <v>422</v>
      </c>
      <c r="D13" s="104">
        <v>250000</v>
      </c>
      <c r="E13" s="101">
        <f t="shared" si="0"/>
        <v>22500</v>
      </c>
      <c r="F13" s="101">
        <f t="shared" si="1"/>
        <v>22500</v>
      </c>
      <c r="G13" s="105">
        <f>D13+E13+F13</f>
        <v>295000</v>
      </c>
      <c r="H13" s="105"/>
      <c r="I13" s="105"/>
      <c r="J13" s="105"/>
      <c r="K13" s="105"/>
      <c r="L13" s="102">
        <v>46125</v>
      </c>
      <c r="M13" s="102"/>
      <c r="N13" s="96" t="s">
        <v>420</v>
      </c>
    </row>
    <row r="14" spans="1:14" ht="15.6" x14ac:dyDescent="0.3">
      <c r="A14" s="96"/>
      <c r="B14" s="97"/>
      <c r="C14" s="97"/>
      <c r="D14" s="103"/>
      <c r="E14" s="103"/>
      <c r="F14" s="103"/>
      <c r="G14" s="98">
        <f>SUM(G10:G13)</f>
        <v>334294</v>
      </c>
      <c r="H14" s="98">
        <f>SUM(H10:H13)</f>
        <v>234702</v>
      </c>
      <c r="I14" s="99"/>
      <c r="J14" s="99"/>
      <c r="K14" s="99"/>
      <c r="L14" s="100" t="s">
        <v>413</v>
      </c>
      <c r="M14" s="100" t="s">
        <v>413</v>
      </c>
      <c r="N14" s="100" t="s">
        <v>413</v>
      </c>
    </row>
    <row r="15" spans="1:14" ht="15.6" x14ac:dyDescent="0.3">
      <c r="A15" s="96"/>
      <c r="B15" s="97"/>
      <c r="C15" s="97"/>
      <c r="D15" s="103"/>
      <c r="E15" s="103"/>
      <c r="F15" s="103"/>
      <c r="G15" s="98"/>
      <c r="H15" s="98"/>
      <c r="I15" s="99"/>
      <c r="J15" s="99"/>
      <c r="K15" s="99"/>
      <c r="L15" s="97"/>
      <c r="M15" s="97"/>
      <c r="N15" s="96"/>
    </row>
    <row r="16" spans="1:14" ht="15.6" x14ac:dyDescent="0.3">
      <c r="A16" s="96"/>
      <c r="B16" s="97"/>
      <c r="C16" s="97"/>
      <c r="D16" s="103"/>
      <c r="E16" s="103"/>
      <c r="F16" s="103"/>
      <c r="G16" s="98"/>
      <c r="H16" s="98"/>
      <c r="I16" s="99"/>
      <c r="J16" s="99"/>
      <c r="K16" s="99"/>
      <c r="L16" s="97"/>
      <c r="M16" s="97"/>
      <c r="N16" s="96"/>
    </row>
    <row r="17" spans="1:14" ht="15.6" x14ac:dyDescent="0.3">
      <c r="A17" s="134" t="s">
        <v>424</v>
      </c>
      <c r="B17" s="134"/>
      <c r="C17" s="134"/>
      <c r="D17" s="106"/>
      <c r="E17" s="106"/>
      <c r="F17" s="106"/>
      <c r="G17" s="107">
        <f>G7+G14</f>
        <v>334294</v>
      </c>
      <c r="H17" s="107">
        <f>H7+H14</f>
        <v>299602</v>
      </c>
      <c r="I17" s="107"/>
      <c r="J17" s="107"/>
      <c r="K17" s="107"/>
      <c r="L17" s="100" t="s">
        <v>413</v>
      </c>
      <c r="M17" s="100" t="s">
        <v>413</v>
      </c>
      <c r="N17" s="100" t="s">
        <v>413</v>
      </c>
    </row>
    <row r="18" spans="1:14" x14ac:dyDescent="0.3">
      <c r="G18" s="108"/>
      <c r="H18" s="108"/>
      <c r="I18" s="108"/>
      <c r="J18" s="108"/>
      <c r="K18" s="108"/>
    </row>
    <row r="19" spans="1:14" x14ac:dyDescent="0.3">
      <c r="G19" s="108"/>
      <c r="H19" s="108"/>
      <c r="I19" s="108"/>
      <c r="J19" s="108"/>
      <c r="K19" s="108"/>
    </row>
    <row r="20" spans="1:14" x14ac:dyDescent="0.3">
      <c r="A20"/>
      <c r="B20"/>
      <c r="C20"/>
      <c r="D20"/>
      <c r="E20"/>
      <c r="F20"/>
      <c r="G20" s="108"/>
      <c r="H20" s="108"/>
      <c r="I20" s="108"/>
      <c r="J20" s="108"/>
      <c r="K20" s="108"/>
      <c r="N20"/>
    </row>
    <row r="21" spans="1:14" x14ac:dyDescent="0.3">
      <c r="A21"/>
      <c r="B21"/>
      <c r="C21"/>
      <c r="D21"/>
      <c r="E21"/>
      <c r="F21"/>
      <c r="G21" s="108"/>
      <c r="H21" s="108"/>
      <c r="I21" s="108"/>
      <c r="J21" s="108"/>
      <c r="K21" s="108"/>
      <c r="N21"/>
    </row>
    <row r="22" spans="1:14" x14ac:dyDescent="0.3">
      <c r="A22"/>
      <c r="B22"/>
      <c r="C22"/>
      <c r="D22"/>
      <c r="E22"/>
      <c r="F22"/>
      <c r="G22" s="108"/>
      <c r="H22" s="108"/>
      <c r="I22" s="108"/>
      <c r="J22" s="108"/>
      <c r="K22" s="108"/>
      <c r="N22"/>
    </row>
    <row r="23" spans="1:14" x14ac:dyDescent="0.3">
      <c r="A23"/>
      <c r="B23"/>
      <c r="C23"/>
      <c r="D23"/>
      <c r="E23"/>
      <c r="F23"/>
      <c r="G23" s="108"/>
      <c r="H23" s="108"/>
      <c r="I23" s="108"/>
      <c r="J23" s="108"/>
      <c r="K23" s="108"/>
      <c r="M23" s="109"/>
      <c r="N23"/>
    </row>
    <row r="24" spans="1:14" x14ac:dyDescent="0.3">
      <c r="A24"/>
      <c r="B24"/>
      <c r="C24"/>
      <c r="D24"/>
      <c r="E24"/>
      <c r="F24"/>
      <c r="G24" s="108"/>
      <c r="H24" s="108"/>
      <c r="I24" s="108"/>
      <c r="J24" s="108"/>
      <c r="K24" s="108"/>
      <c r="N24"/>
    </row>
    <row r="25" spans="1:14" x14ac:dyDescent="0.3">
      <c r="A25"/>
      <c r="B25"/>
      <c r="C25"/>
      <c r="D25"/>
      <c r="E25"/>
      <c r="F25"/>
      <c r="G25" s="108"/>
      <c r="H25" s="108"/>
      <c r="I25" s="108"/>
      <c r="J25" s="108"/>
      <c r="K25" s="108"/>
      <c r="N25"/>
    </row>
    <row r="26" spans="1:14" x14ac:dyDescent="0.3">
      <c r="A26"/>
      <c r="B26"/>
      <c r="C26"/>
      <c r="D26"/>
      <c r="E26"/>
      <c r="F26"/>
      <c r="G26" s="108"/>
      <c r="H26" s="108"/>
      <c r="I26" s="108"/>
      <c r="J26" s="108"/>
      <c r="K26" s="108"/>
      <c r="N26"/>
    </row>
    <row r="27" spans="1:14" x14ac:dyDescent="0.3">
      <c r="A27"/>
      <c r="B27"/>
      <c r="C27"/>
      <c r="D27"/>
      <c r="E27"/>
      <c r="F27"/>
      <c r="G27" s="108"/>
      <c r="H27" s="108"/>
      <c r="I27" s="108"/>
      <c r="J27" s="108"/>
      <c r="K27" s="108"/>
      <c r="N27"/>
    </row>
    <row r="28" spans="1:14" x14ac:dyDescent="0.3">
      <c r="A28"/>
      <c r="B28"/>
      <c r="C28"/>
      <c r="D28"/>
      <c r="E28"/>
      <c r="F28"/>
      <c r="G28" s="108"/>
      <c r="H28" s="108"/>
      <c r="I28" s="108"/>
      <c r="J28" s="108"/>
      <c r="K28" s="108"/>
      <c r="N28"/>
    </row>
    <row r="29" spans="1:14" x14ac:dyDescent="0.3">
      <c r="A29"/>
      <c r="B29"/>
      <c r="C29"/>
      <c r="D29"/>
      <c r="E29"/>
      <c r="F29"/>
      <c r="G29" s="108"/>
      <c r="H29" s="108"/>
      <c r="I29" s="108"/>
      <c r="J29" s="108"/>
      <c r="K29" s="108"/>
      <c r="N29"/>
    </row>
    <row r="30" spans="1:14" x14ac:dyDescent="0.3">
      <c r="A30"/>
      <c r="B30"/>
      <c r="C30"/>
      <c r="D30"/>
      <c r="E30"/>
      <c r="F30"/>
      <c r="G30" s="108"/>
      <c r="H30" s="108"/>
      <c r="I30" s="108"/>
      <c r="J30" s="108"/>
      <c r="K30" s="108"/>
      <c r="N30"/>
    </row>
    <row r="31" spans="1:14" x14ac:dyDescent="0.3">
      <c r="A31"/>
      <c r="B31"/>
      <c r="C31"/>
      <c r="D31"/>
      <c r="E31"/>
      <c r="F31"/>
      <c r="G31" s="108"/>
      <c r="H31" s="108"/>
      <c r="I31" s="108"/>
      <c r="J31" s="108"/>
      <c r="K31" s="108"/>
      <c r="N31"/>
    </row>
    <row r="32" spans="1:14" x14ac:dyDescent="0.3">
      <c r="A32"/>
      <c r="B32"/>
      <c r="C32"/>
      <c r="D32"/>
      <c r="E32"/>
      <c r="F32"/>
      <c r="G32" s="108"/>
      <c r="H32" s="108"/>
      <c r="I32" s="108"/>
      <c r="J32" s="108"/>
      <c r="K32" s="108"/>
      <c r="N32"/>
    </row>
    <row r="33" spans="1:14" x14ac:dyDescent="0.3">
      <c r="A33"/>
      <c r="B33"/>
      <c r="C33"/>
      <c r="D33"/>
      <c r="E33"/>
      <c r="F33"/>
      <c r="G33" s="108"/>
      <c r="H33" s="108"/>
      <c r="I33" s="108"/>
      <c r="J33" s="108"/>
      <c r="K33" s="108"/>
      <c r="N33"/>
    </row>
    <row r="34" spans="1:14" x14ac:dyDescent="0.3">
      <c r="A34"/>
      <c r="B34"/>
      <c r="C34"/>
      <c r="D34"/>
      <c r="E34"/>
      <c r="F34"/>
      <c r="G34" s="108"/>
      <c r="H34" s="108"/>
      <c r="I34" s="108"/>
      <c r="J34" s="108"/>
      <c r="K34" s="108"/>
      <c r="N34"/>
    </row>
    <row r="35" spans="1:14" x14ac:dyDescent="0.3">
      <c r="A35"/>
      <c r="B35"/>
      <c r="C35"/>
      <c r="D35"/>
      <c r="E35"/>
      <c r="F35"/>
      <c r="G35" s="108"/>
      <c r="H35" s="108"/>
      <c r="I35" s="108"/>
      <c r="J35" s="108"/>
      <c r="K35" s="108"/>
      <c r="N35"/>
    </row>
    <row r="36" spans="1:14" x14ac:dyDescent="0.3">
      <c r="A36"/>
      <c r="B36"/>
      <c r="C36"/>
      <c r="D36"/>
      <c r="E36"/>
      <c r="F36"/>
      <c r="G36" s="108"/>
      <c r="H36" s="108"/>
      <c r="I36" s="108"/>
      <c r="J36" s="108"/>
      <c r="K36" s="108"/>
      <c r="L36"/>
      <c r="M36"/>
      <c r="N36"/>
    </row>
    <row r="37" spans="1:14" x14ac:dyDescent="0.3">
      <c r="A37"/>
      <c r="B37"/>
      <c r="C37"/>
      <c r="D37"/>
      <c r="E37"/>
      <c r="F37"/>
      <c r="G37" s="108"/>
      <c r="H37" s="108"/>
      <c r="I37" s="108"/>
      <c r="J37" s="108"/>
      <c r="K37" s="108"/>
      <c r="L37"/>
      <c r="M37"/>
      <c r="N37"/>
    </row>
    <row r="38" spans="1:14" x14ac:dyDescent="0.3">
      <c r="A38"/>
      <c r="B38"/>
      <c r="C38"/>
      <c r="D38"/>
      <c r="E38"/>
      <c r="F38"/>
      <c r="G38" s="108"/>
      <c r="H38" s="108"/>
      <c r="I38" s="108"/>
      <c r="J38" s="108"/>
      <c r="K38" s="108"/>
      <c r="L38"/>
      <c r="M38"/>
      <c r="N38"/>
    </row>
    <row r="39" spans="1:14" x14ac:dyDescent="0.3">
      <c r="A39"/>
      <c r="B39"/>
      <c r="C39"/>
      <c r="D39"/>
      <c r="E39"/>
      <c r="F39"/>
      <c r="G39" s="108"/>
      <c r="H39" s="108"/>
      <c r="I39" s="108"/>
      <c r="J39" s="108"/>
      <c r="K39" s="108"/>
      <c r="L39"/>
      <c r="M39"/>
      <c r="N39"/>
    </row>
    <row r="40" spans="1:14" x14ac:dyDescent="0.3">
      <c r="A40"/>
      <c r="B40"/>
      <c r="C40"/>
      <c r="D40"/>
      <c r="E40"/>
      <c r="F40"/>
      <c r="G40" s="108"/>
      <c r="H40" s="108"/>
      <c r="I40" s="108"/>
      <c r="J40" s="108"/>
      <c r="K40" s="108"/>
      <c r="L40"/>
      <c r="M40"/>
      <c r="N40"/>
    </row>
    <row r="41" spans="1:14" x14ac:dyDescent="0.3">
      <c r="A41"/>
      <c r="B41"/>
      <c r="C41"/>
      <c r="D41"/>
      <c r="E41"/>
      <c r="F41"/>
      <c r="G41" s="108"/>
      <c r="H41" s="108"/>
      <c r="I41" s="108"/>
      <c r="J41" s="108"/>
      <c r="K41" s="108"/>
      <c r="L41"/>
      <c r="M41"/>
      <c r="N41"/>
    </row>
    <row r="42" spans="1:14" x14ac:dyDescent="0.3">
      <c r="A42"/>
      <c r="B42"/>
      <c r="C42"/>
      <c r="D42"/>
      <c r="E42"/>
      <c r="F42"/>
      <c r="G42" s="108"/>
      <c r="H42" s="108"/>
      <c r="I42" s="108"/>
      <c r="J42" s="108"/>
      <c r="K42" s="108"/>
      <c r="L42"/>
      <c r="M42"/>
      <c r="N42"/>
    </row>
    <row r="43" spans="1:14" x14ac:dyDescent="0.3">
      <c r="A43"/>
      <c r="B43"/>
      <c r="C43"/>
      <c r="D43"/>
      <c r="E43"/>
      <c r="F43"/>
      <c r="G43" s="108"/>
      <c r="H43" s="108"/>
      <c r="I43" s="108"/>
      <c r="J43" s="108"/>
      <c r="K43" s="108"/>
      <c r="L43"/>
      <c r="M43"/>
      <c r="N43"/>
    </row>
    <row r="44" spans="1:14" x14ac:dyDescent="0.3">
      <c r="A44"/>
      <c r="B44"/>
      <c r="C44"/>
      <c r="D44"/>
      <c r="E44"/>
      <c r="F44"/>
      <c r="G44" s="108"/>
      <c r="H44" s="108"/>
      <c r="I44" s="108"/>
      <c r="J44" s="108"/>
      <c r="K44" s="108"/>
      <c r="L44"/>
      <c r="M44"/>
      <c r="N44"/>
    </row>
    <row r="45" spans="1:14" x14ac:dyDescent="0.3">
      <c r="A45"/>
      <c r="B45"/>
      <c r="C45"/>
      <c r="D45"/>
      <c r="E45"/>
      <c r="F45"/>
      <c r="G45" s="108"/>
      <c r="H45" s="108"/>
      <c r="I45" s="108"/>
      <c r="J45" s="108"/>
      <c r="K45" s="108"/>
      <c r="L45"/>
      <c r="M45"/>
      <c r="N45"/>
    </row>
    <row r="46" spans="1:14" x14ac:dyDescent="0.3">
      <c r="A46"/>
      <c r="B46"/>
      <c r="C46"/>
      <c r="D46"/>
      <c r="E46"/>
      <c r="F46"/>
      <c r="G46" s="108"/>
      <c r="H46" s="108"/>
      <c r="I46" s="108"/>
      <c r="J46" s="108"/>
      <c r="K46" s="108"/>
      <c r="L46"/>
      <c r="M46"/>
      <c r="N46"/>
    </row>
    <row r="47" spans="1:14" x14ac:dyDescent="0.3">
      <c r="A47"/>
      <c r="B47"/>
      <c r="C47"/>
      <c r="D47"/>
      <c r="E47"/>
      <c r="F47"/>
      <c r="G47" s="108"/>
      <c r="H47" s="108"/>
      <c r="I47" s="108"/>
      <c r="J47" s="108"/>
      <c r="K47" s="108"/>
      <c r="L47"/>
      <c r="M47"/>
      <c r="N47"/>
    </row>
    <row r="48" spans="1:14" x14ac:dyDescent="0.3">
      <c r="A48"/>
      <c r="B48"/>
      <c r="C48"/>
      <c r="D48"/>
      <c r="E48"/>
      <c r="F48"/>
      <c r="G48" s="108"/>
      <c r="H48" s="108"/>
      <c r="I48" s="108"/>
      <c r="J48" s="108"/>
      <c r="K48" s="108"/>
      <c r="L48"/>
      <c r="M48"/>
      <c r="N48"/>
    </row>
    <row r="49" spans="1:14" x14ac:dyDescent="0.3">
      <c r="A49"/>
      <c r="B49"/>
      <c r="C49"/>
      <c r="D49"/>
      <c r="E49"/>
      <c r="F49"/>
      <c r="G49" s="108"/>
      <c r="H49" s="108"/>
      <c r="I49" s="108"/>
      <c r="J49" s="108"/>
      <c r="K49" s="108"/>
      <c r="L49"/>
      <c r="M49"/>
      <c r="N49"/>
    </row>
    <row r="50" spans="1:14" x14ac:dyDescent="0.3">
      <c r="A50"/>
      <c r="B50"/>
      <c r="C50"/>
      <c r="D50"/>
      <c r="E50"/>
      <c r="F50"/>
      <c r="G50" s="108"/>
      <c r="H50" s="108"/>
      <c r="I50" s="108"/>
      <c r="J50" s="108"/>
      <c r="K50" s="108"/>
      <c r="L50"/>
      <c r="M50"/>
      <c r="N50"/>
    </row>
    <row r="51" spans="1:14" x14ac:dyDescent="0.3">
      <c r="A51"/>
      <c r="B51"/>
      <c r="C51"/>
      <c r="D51"/>
      <c r="E51"/>
      <c r="F51"/>
      <c r="G51" s="108"/>
      <c r="H51" s="108"/>
      <c r="I51" s="108"/>
      <c r="J51" s="108"/>
      <c r="K51" s="108"/>
      <c r="L51"/>
      <c r="M51"/>
      <c r="N51"/>
    </row>
    <row r="52" spans="1:14" x14ac:dyDescent="0.3">
      <c r="A52"/>
      <c r="B52"/>
      <c r="C52"/>
      <c r="D52"/>
      <c r="E52"/>
      <c r="F52"/>
      <c r="G52" s="108"/>
      <c r="H52" s="108"/>
      <c r="I52" s="108"/>
      <c r="J52" s="108"/>
      <c r="K52" s="108"/>
      <c r="L52"/>
      <c r="M52"/>
      <c r="N52"/>
    </row>
    <row r="53" spans="1:14" x14ac:dyDescent="0.3">
      <c r="A53"/>
      <c r="B53"/>
      <c r="C53"/>
      <c r="D53"/>
      <c r="E53"/>
      <c r="F53"/>
      <c r="G53" s="108"/>
      <c r="H53" s="108"/>
      <c r="I53" s="108"/>
      <c r="J53" s="108"/>
      <c r="K53" s="108"/>
      <c r="L53"/>
      <c r="M53"/>
      <c r="N53"/>
    </row>
    <row r="54" spans="1:14" x14ac:dyDescent="0.3">
      <c r="A54"/>
      <c r="B54"/>
      <c r="C54"/>
      <c r="D54"/>
      <c r="E54"/>
      <c r="F54"/>
      <c r="G54" s="108"/>
      <c r="H54" s="108"/>
      <c r="I54" s="108"/>
      <c r="J54" s="108"/>
      <c r="K54" s="108"/>
      <c r="L54"/>
      <c r="M54"/>
      <c r="N54"/>
    </row>
    <row r="55" spans="1:14" x14ac:dyDescent="0.3">
      <c r="A55"/>
      <c r="B55"/>
      <c r="C55"/>
      <c r="D55"/>
      <c r="E55"/>
      <c r="F55"/>
      <c r="G55" s="108"/>
      <c r="H55" s="108"/>
      <c r="I55" s="108"/>
      <c r="J55" s="108"/>
      <c r="K55" s="108"/>
      <c r="L55"/>
      <c r="M55"/>
      <c r="N55"/>
    </row>
    <row r="56" spans="1:14" x14ac:dyDescent="0.3">
      <c r="A56"/>
      <c r="B56"/>
      <c r="C56"/>
      <c r="D56"/>
      <c r="E56"/>
      <c r="F56"/>
      <c r="G56" s="108"/>
      <c r="H56" s="108"/>
      <c r="I56" s="108"/>
      <c r="J56" s="108"/>
      <c r="K56" s="108"/>
      <c r="L56"/>
      <c r="M56"/>
      <c r="N56"/>
    </row>
    <row r="57" spans="1:14" x14ac:dyDescent="0.3">
      <c r="A57"/>
      <c r="B57"/>
      <c r="C57"/>
      <c r="D57"/>
      <c r="E57"/>
      <c r="F57"/>
      <c r="G57" s="108"/>
      <c r="H57" s="108"/>
      <c r="I57" s="108"/>
      <c r="J57" s="108"/>
      <c r="K57" s="108"/>
      <c r="L57"/>
      <c r="M57"/>
      <c r="N57"/>
    </row>
    <row r="58" spans="1:14" x14ac:dyDescent="0.3">
      <c r="A58"/>
      <c r="B58"/>
      <c r="C58"/>
      <c r="D58"/>
      <c r="E58"/>
      <c r="F58"/>
      <c r="G58" s="108"/>
      <c r="H58" s="108"/>
      <c r="I58" s="108"/>
      <c r="J58" s="108"/>
      <c r="K58" s="108"/>
      <c r="L58"/>
      <c r="M58"/>
      <c r="N58"/>
    </row>
    <row r="59" spans="1:14" x14ac:dyDescent="0.3">
      <c r="A59"/>
      <c r="B59"/>
      <c r="C59"/>
      <c r="D59"/>
      <c r="E59"/>
      <c r="F59"/>
      <c r="G59" s="108"/>
      <c r="H59" s="108"/>
      <c r="I59" s="108"/>
      <c r="J59" s="108"/>
      <c r="K59" s="108"/>
      <c r="L59"/>
      <c r="M59"/>
      <c r="N59"/>
    </row>
    <row r="60" spans="1:14" x14ac:dyDescent="0.3">
      <c r="A60"/>
      <c r="B60"/>
      <c r="C60"/>
      <c r="D60"/>
      <c r="E60"/>
      <c r="F60"/>
      <c r="G60" s="108"/>
      <c r="H60" s="108"/>
      <c r="I60" s="108"/>
      <c r="J60" s="108"/>
      <c r="K60" s="108"/>
      <c r="L60"/>
      <c r="M60"/>
      <c r="N60"/>
    </row>
    <row r="61" spans="1:14" x14ac:dyDescent="0.3">
      <c r="A61"/>
      <c r="B61"/>
      <c r="C61"/>
      <c r="D61"/>
      <c r="E61"/>
      <c r="F61"/>
      <c r="G61" s="108"/>
      <c r="H61" s="108"/>
      <c r="I61" s="108"/>
      <c r="J61" s="108"/>
      <c r="K61" s="108"/>
      <c r="L61"/>
      <c r="M61"/>
      <c r="N61"/>
    </row>
    <row r="62" spans="1:14" x14ac:dyDescent="0.3">
      <c r="A62"/>
      <c r="B62"/>
      <c r="C62"/>
      <c r="D62"/>
      <c r="E62"/>
      <c r="F62"/>
      <c r="G62" s="108"/>
      <c r="H62" s="108"/>
      <c r="I62" s="108"/>
      <c r="J62" s="108"/>
      <c r="K62" s="108"/>
      <c r="L62"/>
      <c r="M62"/>
      <c r="N62"/>
    </row>
    <row r="63" spans="1:14" x14ac:dyDescent="0.3">
      <c r="A63"/>
      <c r="B63"/>
      <c r="C63"/>
      <c r="D63"/>
      <c r="E63"/>
      <c r="F63"/>
      <c r="G63" s="108"/>
      <c r="H63" s="108"/>
      <c r="I63" s="108"/>
      <c r="J63" s="108"/>
      <c r="K63" s="108"/>
      <c r="L63"/>
      <c r="M63"/>
      <c r="N63"/>
    </row>
    <row r="64" spans="1:14" x14ac:dyDescent="0.3">
      <c r="A64"/>
      <c r="B64"/>
      <c r="C64"/>
      <c r="D64"/>
      <c r="E64"/>
      <c r="F64"/>
      <c r="G64" s="108"/>
      <c r="H64" s="108"/>
      <c r="I64" s="108"/>
      <c r="J64" s="108"/>
      <c r="K64" s="108"/>
      <c r="L64"/>
      <c r="M64"/>
      <c r="N64"/>
    </row>
    <row r="65" spans="1:14" x14ac:dyDescent="0.3">
      <c r="A65"/>
      <c r="B65"/>
      <c r="C65"/>
      <c r="D65"/>
      <c r="E65"/>
      <c r="F65"/>
      <c r="G65" s="108"/>
      <c r="H65" s="108"/>
      <c r="I65" s="108"/>
      <c r="J65" s="108"/>
      <c r="K65" s="108"/>
      <c r="L65"/>
      <c r="M65"/>
      <c r="N65"/>
    </row>
    <row r="66" spans="1:14" x14ac:dyDescent="0.3">
      <c r="A66"/>
      <c r="B66"/>
      <c r="C66"/>
      <c r="D66"/>
      <c r="E66"/>
      <c r="F66"/>
      <c r="G66" s="108"/>
      <c r="H66" s="108"/>
      <c r="I66" s="108"/>
      <c r="J66" s="108"/>
      <c r="K66" s="108"/>
      <c r="L66"/>
      <c r="M66"/>
      <c r="N66"/>
    </row>
    <row r="67" spans="1:14" x14ac:dyDescent="0.3">
      <c r="A67"/>
      <c r="B67"/>
      <c r="C67"/>
      <c r="D67"/>
      <c r="E67"/>
      <c r="F67"/>
      <c r="G67" s="108"/>
      <c r="H67" s="108"/>
      <c r="I67" s="108"/>
      <c r="J67" s="108"/>
      <c r="K67" s="108"/>
      <c r="L67"/>
      <c r="M67"/>
      <c r="N67"/>
    </row>
    <row r="68" spans="1:14" x14ac:dyDescent="0.3">
      <c r="A68"/>
      <c r="B68"/>
      <c r="C68"/>
      <c r="D68"/>
      <c r="E68"/>
      <c r="F68"/>
      <c r="G68" s="108"/>
      <c r="H68" s="108"/>
      <c r="I68" s="108"/>
      <c r="J68" s="108"/>
      <c r="K68" s="108"/>
      <c r="L68"/>
      <c r="M68"/>
      <c r="N68"/>
    </row>
    <row r="69" spans="1:14" x14ac:dyDescent="0.3">
      <c r="A69"/>
      <c r="B69"/>
      <c r="C69"/>
      <c r="D69"/>
      <c r="E69"/>
      <c r="F69"/>
      <c r="G69" s="108"/>
      <c r="H69" s="108"/>
      <c r="I69" s="108"/>
      <c r="J69" s="108"/>
      <c r="K69" s="108"/>
      <c r="L69"/>
      <c r="M69"/>
      <c r="N69"/>
    </row>
    <row r="70" spans="1:14" x14ac:dyDescent="0.3">
      <c r="A70"/>
      <c r="B70"/>
      <c r="C70"/>
      <c r="D70"/>
      <c r="E70"/>
      <c r="F70"/>
      <c r="G70" s="108"/>
      <c r="H70" s="108"/>
      <c r="I70" s="108"/>
      <c r="J70" s="108"/>
      <c r="K70" s="108"/>
      <c r="L70"/>
      <c r="M70"/>
      <c r="N70"/>
    </row>
    <row r="71" spans="1:14" x14ac:dyDescent="0.3">
      <c r="A71"/>
      <c r="B71"/>
      <c r="C71"/>
      <c r="D71"/>
      <c r="E71"/>
      <c r="F71"/>
      <c r="G71" s="108"/>
      <c r="H71" s="108"/>
      <c r="I71" s="108"/>
      <c r="J71" s="108"/>
      <c r="K71" s="108"/>
      <c r="L71"/>
      <c r="M71"/>
      <c r="N71"/>
    </row>
    <row r="72" spans="1:14" x14ac:dyDescent="0.3">
      <c r="A72"/>
      <c r="B72"/>
      <c r="C72"/>
      <c r="D72"/>
      <c r="E72"/>
      <c r="F72"/>
      <c r="G72" s="108"/>
      <c r="H72" s="108"/>
      <c r="I72" s="108"/>
      <c r="J72" s="108"/>
      <c r="K72" s="108"/>
      <c r="L72"/>
      <c r="M72"/>
      <c r="N72"/>
    </row>
    <row r="73" spans="1:14" x14ac:dyDescent="0.3">
      <c r="A73"/>
      <c r="B73"/>
      <c r="C73"/>
      <c r="D73"/>
      <c r="E73"/>
      <c r="F73"/>
      <c r="G73" s="108"/>
      <c r="H73" s="108"/>
      <c r="I73" s="108"/>
      <c r="J73" s="108"/>
      <c r="K73" s="108"/>
      <c r="L73"/>
      <c r="M73"/>
      <c r="N73"/>
    </row>
    <row r="74" spans="1:14" x14ac:dyDescent="0.3">
      <c r="A74"/>
      <c r="B74"/>
      <c r="C74"/>
      <c r="D74"/>
      <c r="E74"/>
      <c r="F74"/>
      <c r="G74" s="108"/>
      <c r="H74" s="108"/>
      <c r="I74" s="108"/>
      <c r="J74" s="108"/>
      <c r="K74" s="108"/>
      <c r="L74"/>
      <c r="M74"/>
      <c r="N74"/>
    </row>
    <row r="75" spans="1:14" x14ac:dyDescent="0.3">
      <c r="A75"/>
      <c r="B75"/>
      <c r="C75"/>
      <c r="D75"/>
      <c r="E75"/>
      <c r="F75"/>
      <c r="G75" s="108"/>
      <c r="H75" s="108"/>
      <c r="I75" s="108"/>
      <c r="J75" s="108"/>
      <c r="K75" s="108"/>
      <c r="L75"/>
      <c r="M75"/>
      <c r="N75"/>
    </row>
    <row r="76" spans="1:14" x14ac:dyDescent="0.3">
      <c r="A76"/>
      <c r="B76"/>
      <c r="C76"/>
      <c r="D76"/>
      <c r="E76"/>
      <c r="F76"/>
      <c r="G76" s="108"/>
      <c r="H76" s="108"/>
      <c r="I76" s="108"/>
      <c r="J76" s="108"/>
      <c r="K76" s="108"/>
      <c r="L76"/>
      <c r="M76"/>
      <c r="N76"/>
    </row>
    <row r="77" spans="1:14" x14ac:dyDescent="0.3">
      <c r="A77"/>
      <c r="B77"/>
      <c r="C77"/>
      <c r="D77"/>
      <c r="E77"/>
      <c r="F77"/>
      <c r="G77" s="108"/>
      <c r="H77" s="108"/>
      <c r="I77" s="108"/>
      <c r="J77" s="108"/>
      <c r="K77" s="108"/>
      <c r="L77"/>
      <c r="M77"/>
      <c r="N77"/>
    </row>
    <row r="78" spans="1:14" x14ac:dyDescent="0.3">
      <c r="A78"/>
      <c r="B78"/>
      <c r="C78"/>
      <c r="D78"/>
      <c r="E78"/>
      <c r="F78"/>
      <c r="G78" s="108"/>
      <c r="H78" s="108"/>
      <c r="I78" s="108"/>
      <c r="J78" s="108"/>
      <c r="K78" s="108"/>
      <c r="L78"/>
      <c r="M78"/>
      <c r="N78"/>
    </row>
    <row r="79" spans="1:14" x14ac:dyDescent="0.3">
      <c r="A79"/>
      <c r="B79"/>
      <c r="C79"/>
      <c r="D79"/>
      <c r="E79"/>
      <c r="F79"/>
      <c r="G79" s="108"/>
      <c r="H79" s="108"/>
      <c r="I79" s="108"/>
      <c r="J79" s="108"/>
      <c r="K79" s="108"/>
      <c r="L79"/>
      <c r="M79"/>
      <c r="N79"/>
    </row>
    <row r="80" spans="1:14" x14ac:dyDescent="0.3">
      <c r="A80"/>
      <c r="B80"/>
      <c r="C80"/>
      <c r="D80"/>
      <c r="E80"/>
      <c r="F80"/>
      <c r="G80" s="108"/>
      <c r="H80" s="108"/>
      <c r="I80" s="108"/>
      <c r="J80" s="108"/>
      <c r="K80" s="108"/>
      <c r="L80"/>
      <c r="M80"/>
      <c r="N80"/>
    </row>
    <row r="81" spans="1:14" x14ac:dyDescent="0.3">
      <c r="A81"/>
      <c r="B81"/>
      <c r="C81"/>
      <c r="D81"/>
      <c r="E81"/>
      <c r="F81"/>
      <c r="G81" s="108"/>
      <c r="H81" s="108"/>
      <c r="I81" s="108"/>
      <c r="J81" s="108"/>
      <c r="K81" s="108"/>
      <c r="L81"/>
      <c r="M81"/>
      <c r="N81"/>
    </row>
    <row r="82" spans="1:14" x14ac:dyDescent="0.3">
      <c r="A82"/>
      <c r="B82"/>
      <c r="C82"/>
      <c r="D82"/>
      <c r="E82"/>
      <c r="F82"/>
      <c r="G82" s="108"/>
      <c r="H82" s="108"/>
      <c r="I82" s="108"/>
      <c r="J82" s="108"/>
      <c r="K82" s="108"/>
      <c r="L82"/>
      <c r="M82"/>
      <c r="N82"/>
    </row>
    <row r="83" spans="1:14" x14ac:dyDescent="0.3">
      <c r="A83"/>
      <c r="B83"/>
      <c r="C83"/>
      <c r="D83"/>
      <c r="E83"/>
      <c r="F83"/>
      <c r="G83" s="108"/>
      <c r="H83" s="108"/>
      <c r="I83" s="108"/>
      <c r="J83" s="108"/>
      <c r="K83" s="108"/>
      <c r="L83"/>
      <c r="M83"/>
      <c r="N83"/>
    </row>
    <row r="84" spans="1:14" x14ac:dyDescent="0.3">
      <c r="A84"/>
      <c r="B84"/>
      <c r="C84"/>
      <c r="D84"/>
      <c r="E84"/>
      <c r="F84"/>
      <c r="G84" s="108"/>
      <c r="H84" s="108"/>
      <c r="I84" s="108"/>
      <c r="J84" s="108"/>
      <c r="K84" s="108"/>
      <c r="L84"/>
      <c r="M84"/>
      <c r="N84"/>
    </row>
    <row r="85" spans="1:14" x14ac:dyDescent="0.3">
      <c r="A85"/>
      <c r="B85"/>
      <c r="C85"/>
      <c r="D85"/>
      <c r="E85"/>
      <c r="F85"/>
      <c r="G85" s="108"/>
      <c r="H85" s="108"/>
      <c r="I85" s="108"/>
      <c r="J85" s="108"/>
      <c r="K85" s="108"/>
      <c r="L85"/>
      <c r="M85"/>
      <c r="N85"/>
    </row>
    <row r="86" spans="1:14" x14ac:dyDescent="0.3">
      <c r="A86"/>
      <c r="B86"/>
      <c r="C86"/>
      <c r="D86"/>
      <c r="E86"/>
      <c r="F86"/>
      <c r="G86" s="108"/>
      <c r="H86" s="108"/>
      <c r="I86" s="108"/>
      <c r="J86" s="108"/>
      <c r="K86" s="108"/>
      <c r="L86"/>
      <c r="M86"/>
      <c r="N86"/>
    </row>
    <row r="87" spans="1:14" x14ac:dyDescent="0.3">
      <c r="A87"/>
      <c r="B87"/>
      <c r="C87"/>
      <c r="D87"/>
      <c r="E87"/>
      <c r="F87"/>
      <c r="G87" s="108"/>
      <c r="H87" s="108"/>
      <c r="I87" s="108"/>
      <c r="J87" s="108"/>
      <c r="K87" s="108"/>
      <c r="L87"/>
      <c r="M87"/>
      <c r="N87"/>
    </row>
    <row r="88" spans="1:14" x14ac:dyDescent="0.3">
      <c r="A88"/>
      <c r="B88"/>
      <c r="C88"/>
      <c r="D88"/>
      <c r="E88"/>
      <c r="F88"/>
      <c r="G88" s="108"/>
      <c r="H88" s="108"/>
      <c r="I88" s="108"/>
      <c r="J88" s="108"/>
      <c r="K88" s="108"/>
      <c r="L88"/>
      <c r="M88"/>
      <c r="N88"/>
    </row>
    <row r="89" spans="1:14" x14ac:dyDescent="0.3">
      <c r="A89"/>
      <c r="B89"/>
      <c r="C89"/>
      <c r="D89"/>
      <c r="E89"/>
      <c r="F89"/>
      <c r="G89" s="108"/>
      <c r="H89" s="108"/>
      <c r="I89" s="108"/>
      <c r="J89" s="108"/>
      <c r="K89" s="108"/>
      <c r="L89"/>
      <c r="M89"/>
      <c r="N89"/>
    </row>
    <row r="90" spans="1:14" x14ac:dyDescent="0.3">
      <c r="A90"/>
      <c r="B90"/>
      <c r="C90"/>
      <c r="D90"/>
      <c r="E90"/>
      <c r="F90"/>
      <c r="G90" s="108"/>
      <c r="H90" s="108"/>
      <c r="I90" s="108"/>
      <c r="J90" s="108"/>
      <c r="K90" s="108"/>
      <c r="L90"/>
      <c r="M90"/>
      <c r="N90"/>
    </row>
    <row r="91" spans="1:14" x14ac:dyDescent="0.3">
      <c r="A91"/>
      <c r="B91"/>
      <c r="C91"/>
      <c r="D91"/>
      <c r="E91"/>
      <c r="F91"/>
      <c r="G91" s="108"/>
      <c r="H91" s="108"/>
      <c r="I91" s="108"/>
      <c r="J91" s="108"/>
      <c r="K91" s="108"/>
      <c r="L91"/>
      <c r="M91"/>
      <c r="N91"/>
    </row>
    <row r="92" spans="1:14" x14ac:dyDescent="0.3">
      <c r="A92"/>
      <c r="B92"/>
      <c r="C92"/>
      <c r="D92"/>
      <c r="E92"/>
      <c r="F92"/>
      <c r="G92" s="108"/>
      <c r="H92" s="108"/>
      <c r="I92" s="108"/>
      <c r="J92" s="108"/>
      <c r="K92" s="108"/>
      <c r="L92"/>
      <c r="M92"/>
      <c r="N92"/>
    </row>
    <row r="93" spans="1:14" x14ac:dyDescent="0.3">
      <c r="A93"/>
      <c r="B93"/>
      <c r="C93"/>
      <c r="D93"/>
      <c r="E93"/>
      <c r="F93"/>
      <c r="G93" s="108"/>
      <c r="H93" s="108"/>
      <c r="I93" s="108"/>
      <c r="J93" s="108"/>
      <c r="K93" s="108"/>
      <c r="L93"/>
      <c r="M93"/>
      <c r="N93"/>
    </row>
    <row r="94" spans="1:14" x14ac:dyDescent="0.3">
      <c r="A94"/>
      <c r="B94"/>
      <c r="C94"/>
      <c r="D94"/>
      <c r="E94"/>
      <c r="F94"/>
      <c r="G94" s="108"/>
      <c r="H94" s="108"/>
      <c r="I94" s="108"/>
      <c r="J94" s="108"/>
      <c r="K94" s="108"/>
      <c r="L94"/>
      <c r="M94"/>
      <c r="N94"/>
    </row>
    <row r="95" spans="1:14" x14ac:dyDescent="0.3">
      <c r="A95"/>
      <c r="B95"/>
      <c r="C95"/>
      <c r="D95"/>
      <c r="E95"/>
      <c r="F95"/>
      <c r="G95" s="108"/>
      <c r="H95" s="108"/>
      <c r="I95" s="108"/>
      <c r="J95" s="108"/>
      <c r="K95" s="108"/>
      <c r="L95"/>
      <c r="M95"/>
      <c r="N95"/>
    </row>
    <row r="96" spans="1:14" x14ac:dyDescent="0.3">
      <c r="A96"/>
      <c r="B96"/>
      <c r="C96"/>
      <c r="D96"/>
      <c r="E96"/>
      <c r="F96"/>
      <c r="G96" s="108"/>
      <c r="H96" s="108"/>
      <c r="I96" s="108"/>
      <c r="J96" s="108"/>
      <c r="K96" s="108"/>
      <c r="L96"/>
      <c r="M96"/>
      <c r="N96"/>
    </row>
    <row r="97" spans="1:14" x14ac:dyDescent="0.3">
      <c r="A97"/>
      <c r="B97"/>
      <c r="C97"/>
      <c r="D97"/>
      <c r="E97"/>
      <c r="F97"/>
      <c r="G97" s="108"/>
      <c r="H97" s="108"/>
      <c r="I97" s="108"/>
      <c r="J97" s="108"/>
      <c r="K97" s="108"/>
      <c r="L97"/>
      <c r="M97"/>
      <c r="N97"/>
    </row>
    <row r="98" spans="1:14" x14ac:dyDescent="0.3">
      <c r="A98"/>
      <c r="B98"/>
      <c r="C98"/>
      <c r="D98"/>
      <c r="E98"/>
      <c r="F98"/>
      <c r="G98" s="108"/>
      <c r="H98" s="108"/>
      <c r="I98" s="108"/>
      <c r="J98" s="108"/>
      <c r="K98" s="108"/>
      <c r="L98"/>
      <c r="M98"/>
      <c r="N98"/>
    </row>
    <row r="99" spans="1:14" x14ac:dyDescent="0.3">
      <c r="A99"/>
      <c r="B99"/>
      <c r="C99"/>
      <c r="D99"/>
      <c r="E99"/>
      <c r="F99"/>
      <c r="G99" s="108"/>
      <c r="H99" s="108"/>
      <c r="I99" s="108"/>
      <c r="J99" s="108"/>
      <c r="K99" s="108"/>
      <c r="L99"/>
      <c r="M99"/>
      <c r="N99"/>
    </row>
    <row r="100" spans="1:14" x14ac:dyDescent="0.3">
      <c r="A100"/>
      <c r="B100"/>
      <c r="C100"/>
      <c r="D100"/>
      <c r="E100"/>
      <c r="F100"/>
      <c r="G100" s="108"/>
      <c r="H100" s="108"/>
      <c r="I100" s="108"/>
      <c r="J100" s="108"/>
      <c r="K100" s="108"/>
      <c r="L100"/>
      <c r="M100"/>
      <c r="N100"/>
    </row>
    <row r="101" spans="1:14" x14ac:dyDescent="0.3">
      <c r="A101"/>
      <c r="B101"/>
      <c r="C101"/>
      <c r="D101"/>
      <c r="E101"/>
      <c r="F101"/>
      <c r="G101" s="108"/>
      <c r="H101" s="108"/>
      <c r="I101" s="108"/>
      <c r="J101" s="108"/>
      <c r="K101" s="108"/>
      <c r="L101"/>
      <c r="M101"/>
      <c r="N101"/>
    </row>
    <row r="102" spans="1:14" x14ac:dyDescent="0.3">
      <c r="A102"/>
      <c r="B102"/>
      <c r="C102"/>
      <c r="D102"/>
      <c r="E102"/>
      <c r="F102"/>
      <c r="G102" s="108"/>
      <c r="H102" s="108"/>
      <c r="I102" s="108"/>
      <c r="J102" s="108"/>
      <c r="K102" s="108"/>
      <c r="L102"/>
      <c r="M102"/>
      <c r="N102"/>
    </row>
    <row r="103" spans="1:14" x14ac:dyDescent="0.3">
      <c r="A103"/>
      <c r="B103"/>
      <c r="C103"/>
      <c r="D103"/>
      <c r="E103"/>
      <c r="F103"/>
      <c r="G103" s="108"/>
      <c r="H103" s="108"/>
      <c r="I103" s="108"/>
      <c r="J103" s="108"/>
      <c r="K103" s="108"/>
      <c r="L103"/>
      <c r="M103"/>
      <c r="N103"/>
    </row>
    <row r="104" spans="1:14" x14ac:dyDescent="0.3">
      <c r="A104"/>
      <c r="B104"/>
      <c r="C104"/>
      <c r="D104"/>
      <c r="E104"/>
      <c r="F104"/>
      <c r="G104" s="108"/>
      <c r="H104" s="108"/>
      <c r="I104" s="108"/>
      <c r="J104" s="108"/>
      <c r="K104" s="108"/>
      <c r="L104"/>
      <c r="M104"/>
      <c r="N104"/>
    </row>
    <row r="105" spans="1:14" x14ac:dyDescent="0.3">
      <c r="A105"/>
      <c r="B105"/>
      <c r="C105"/>
      <c r="D105"/>
      <c r="E105"/>
      <c r="F105"/>
      <c r="G105" s="108"/>
      <c r="H105" s="108"/>
      <c r="I105" s="108"/>
      <c r="J105" s="108"/>
      <c r="K105" s="108"/>
      <c r="L105"/>
      <c r="M105"/>
      <c r="N105"/>
    </row>
    <row r="106" spans="1:14" x14ac:dyDescent="0.3">
      <c r="A106"/>
      <c r="B106"/>
      <c r="C106"/>
      <c r="D106"/>
      <c r="E106"/>
      <c r="F106"/>
      <c r="G106" s="108"/>
      <c r="H106" s="108"/>
      <c r="I106" s="108"/>
      <c r="J106" s="108"/>
      <c r="K106" s="108"/>
      <c r="L106"/>
      <c r="M106"/>
      <c r="N106"/>
    </row>
    <row r="107" spans="1:14" x14ac:dyDescent="0.3">
      <c r="A107"/>
      <c r="B107"/>
      <c r="C107"/>
      <c r="D107"/>
      <c r="E107"/>
      <c r="F107"/>
      <c r="G107" s="108"/>
      <c r="H107" s="108"/>
      <c r="I107" s="108"/>
      <c r="J107" s="108"/>
      <c r="K107" s="108"/>
      <c r="L107"/>
      <c r="M107"/>
      <c r="N107"/>
    </row>
    <row r="108" spans="1:14" x14ac:dyDescent="0.3">
      <c r="A108"/>
      <c r="B108"/>
      <c r="C108"/>
      <c r="D108"/>
      <c r="E108"/>
      <c r="F108"/>
      <c r="G108" s="108"/>
      <c r="H108" s="108"/>
      <c r="I108" s="108"/>
      <c r="J108" s="108"/>
      <c r="K108" s="108"/>
      <c r="L108"/>
      <c r="M108"/>
      <c r="N108"/>
    </row>
    <row r="109" spans="1:14" x14ac:dyDescent="0.3">
      <c r="A109"/>
      <c r="B109"/>
      <c r="C109"/>
      <c r="D109"/>
      <c r="E109"/>
      <c r="F109"/>
      <c r="G109" s="108"/>
      <c r="H109" s="108"/>
      <c r="I109" s="108"/>
      <c r="J109" s="108"/>
      <c r="K109" s="108"/>
      <c r="L109"/>
      <c r="M109"/>
      <c r="N109"/>
    </row>
    <row r="110" spans="1:14" x14ac:dyDescent="0.3">
      <c r="A110"/>
      <c r="B110"/>
      <c r="C110"/>
      <c r="D110"/>
      <c r="E110"/>
      <c r="F110"/>
      <c r="G110" s="108"/>
      <c r="H110" s="108"/>
      <c r="I110" s="108"/>
      <c r="J110" s="108"/>
      <c r="K110" s="108"/>
      <c r="L110"/>
      <c r="M110"/>
      <c r="N110"/>
    </row>
    <row r="111" spans="1:14" x14ac:dyDescent="0.3">
      <c r="A111"/>
      <c r="B111"/>
      <c r="C111"/>
      <c r="D111"/>
      <c r="E111"/>
      <c r="F111"/>
      <c r="G111" s="108"/>
      <c r="H111" s="108"/>
      <c r="I111" s="108"/>
      <c r="J111" s="108"/>
      <c r="K111" s="108"/>
      <c r="L111"/>
      <c r="M111"/>
      <c r="N111"/>
    </row>
    <row r="112" spans="1:14" x14ac:dyDescent="0.3">
      <c r="A112"/>
      <c r="B112"/>
      <c r="C112"/>
      <c r="D112"/>
      <c r="E112"/>
      <c r="F112"/>
      <c r="G112" s="108"/>
      <c r="H112" s="108"/>
      <c r="I112" s="108"/>
      <c r="J112" s="108"/>
      <c r="K112" s="108"/>
      <c r="L112"/>
      <c r="M112"/>
      <c r="N112"/>
    </row>
    <row r="113" spans="1:14" x14ac:dyDescent="0.3">
      <c r="A113"/>
      <c r="B113"/>
      <c r="C113"/>
      <c r="D113"/>
      <c r="E113"/>
      <c r="F113"/>
      <c r="G113" s="108"/>
      <c r="H113" s="108"/>
      <c r="I113" s="108"/>
      <c r="J113" s="108"/>
      <c r="K113" s="108"/>
      <c r="L113"/>
      <c r="M113"/>
      <c r="N113"/>
    </row>
    <row r="114" spans="1:14" x14ac:dyDescent="0.3">
      <c r="A114"/>
      <c r="B114"/>
      <c r="C114"/>
      <c r="D114"/>
      <c r="E114"/>
      <c r="F114"/>
      <c r="G114" s="108"/>
      <c r="H114" s="108"/>
      <c r="I114" s="108"/>
      <c r="J114" s="108"/>
      <c r="K114" s="108"/>
      <c r="L114"/>
      <c r="M114"/>
      <c r="N114"/>
    </row>
    <row r="115" spans="1:14" x14ac:dyDescent="0.3">
      <c r="A115"/>
      <c r="B115"/>
      <c r="C115"/>
      <c r="D115"/>
      <c r="E115"/>
      <c r="F115"/>
      <c r="G115" s="108"/>
      <c r="H115" s="108"/>
      <c r="I115" s="108"/>
      <c r="J115" s="108"/>
      <c r="K115" s="108"/>
      <c r="L115"/>
      <c r="M115"/>
      <c r="N115"/>
    </row>
    <row r="116" spans="1:14" x14ac:dyDescent="0.3">
      <c r="A116"/>
      <c r="B116"/>
      <c r="C116"/>
      <c r="D116"/>
      <c r="E116"/>
      <c r="F116"/>
      <c r="G116" s="108"/>
      <c r="H116" s="108"/>
      <c r="I116" s="108"/>
      <c r="J116" s="108"/>
      <c r="K116" s="108"/>
      <c r="L116"/>
      <c r="M116"/>
      <c r="N116"/>
    </row>
    <row r="117" spans="1:14" x14ac:dyDescent="0.3">
      <c r="A117"/>
      <c r="B117"/>
      <c r="C117"/>
      <c r="D117"/>
      <c r="E117"/>
      <c r="F117"/>
      <c r="G117" s="108"/>
      <c r="H117" s="108"/>
      <c r="I117" s="108"/>
      <c r="J117" s="108"/>
      <c r="K117" s="108"/>
      <c r="L117"/>
      <c r="M117"/>
      <c r="N117"/>
    </row>
    <row r="118" spans="1:14" x14ac:dyDescent="0.3">
      <c r="A118"/>
      <c r="B118"/>
      <c r="C118"/>
      <c r="D118"/>
      <c r="E118"/>
      <c r="F118"/>
      <c r="G118" s="108"/>
      <c r="H118" s="108"/>
      <c r="I118" s="108"/>
      <c r="J118" s="108"/>
      <c r="K118" s="108"/>
      <c r="L118"/>
      <c r="M118"/>
      <c r="N118"/>
    </row>
    <row r="119" spans="1:14" x14ac:dyDescent="0.3">
      <c r="A119"/>
      <c r="B119"/>
      <c r="C119"/>
      <c r="D119"/>
      <c r="E119"/>
      <c r="F119"/>
      <c r="G119" s="108"/>
      <c r="H119" s="108"/>
      <c r="I119" s="108"/>
      <c r="J119" s="108"/>
      <c r="K119" s="108"/>
      <c r="L119"/>
      <c r="M119"/>
      <c r="N119"/>
    </row>
    <row r="120" spans="1:14" x14ac:dyDescent="0.3">
      <c r="A120"/>
      <c r="B120"/>
      <c r="C120"/>
      <c r="D120"/>
      <c r="E120"/>
      <c r="F120"/>
      <c r="G120" s="108"/>
      <c r="H120" s="108"/>
      <c r="I120" s="108"/>
      <c r="J120" s="108"/>
      <c r="K120" s="108"/>
      <c r="L120"/>
      <c r="M120"/>
      <c r="N120"/>
    </row>
    <row r="121" spans="1:14" x14ac:dyDescent="0.3">
      <c r="A121"/>
      <c r="B121"/>
      <c r="C121"/>
      <c r="D121"/>
      <c r="E121"/>
      <c r="F121"/>
      <c r="G121" s="108"/>
      <c r="H121" s="108"/>
      <c r="I121" s="108"/>
      <c r="J121" s="108"/>
      <c r="K121" s="108"/>
      <c r="L121"/>
      <c r="M121"/>
      <c r="N121"/>
    </row>
    <row r="122" spans="1:14" x14ac:dyDescent="0.3">
      <c r="A122"/>
      <c r="B122"/>
      <c r="C122"/>
      <c r="D122"/>
      <c r="E122"/>
      <c r="F122"/>
      <c r="G122" s="108"/>
      <c r="H122" s="108"/>
      <c r="I122" s="108"/>
      <c r="J122" s="108"/>
      <c r="K122" s="108"/>
      <c r="L122"/>
      <c r="M122"/>
      <c r="N122"/>
    </row>
    <row r="123" spans="1:14" x14ac:dyDescent="0.3">
      <c r="A123"/>
      <c r="B123"/>
      <c r="C123"/>
      <c r="D123"/>
      <c r="E123"/>
      <c r="F123"/>
      <c r="G123" s="108"/>
      <c r="H123" s="108"/>
      <c r="I123" s="108"/>
      <c r="J123" s="108"/>
      <c r="K123" s="108"/>
      <c r="L123"/>
      <c r="M123"/>
      <c r="N123"/>
    </row>
    <row r="124" spans="1:14" x14ac:dyDescent="0.3">
      <c r="A124"/>
      <c r="B124"/>
      <c r="C124"/>
      <c r="D124"/>
      <c r="E124"/>
      <c r="F124"/>
      <c r="G124" s="108"/>
      <c r="H124" s="108"/>
      <c r="I124" s="108"/>
      <c r="J124" s="108"/>
      <c r="K124" s="108"/>
      <c r="L124"/>
      <c r="M124"/>
      <c r="N124"/>
    </row>
    <row r="125" spans="1:14" x14ac:dyDescent="0.3">
      <c r="A125"/>
      <c r="B125"/>
      <c r="C125"/>
      <c r="D125"/>
      <c r="E125"/>
      <c r="F125"/>
      <c r="G125" s="108"/>
      <c r="H125" s="108"/>
      <c r="I125" s="108"/>
      <c r="J125" s="108"/>
      <c r="K125" s="108"/>
      <c r="L125"/>
      <c r="M125"/>
      <c r="N125"/>
    </row>
    <row r="126" spans="1:14" x14ac:dyDescent="0.3">
      <c r="A126"/>
      <c r="B126"/>
      <c r="C126"/>
      <c r="D126"/>
      <c r="E126"/>
      <c r="F126"/>
      <c r="G126" s="108"/>
      <c r="H126" s="108"/>
      <c r="I126" s="108"/>
      <c r="J126" s="108"/>
      <c r="K126" s="108"/>
      <c r="L126"/>
      <c r="M126"/>
      <c r="N126"/>
    </row>
    <row r="127" spans="1:14" x14ac:dyDescent="0.3">
      <c r="A127"/>
      <c r="B127"/>
      <c r="C127"/>
      <c r="D127"/>
      <c r="E127"/>
      <c r="F127"/>
      <c r="G127" s="108"/>
      <c r="H127" s="108"/>
      <c r="I127" s="108"/>
      <c r="J127" s="108"/>
      <c r="K127" s="108"/>
      <c r="L127"/>
      <c r="M127"/>
      <c r="N127"/>
    </row>
    <row r="128" spans="1:14" x14ac:dyDescent="0.3">
      <c r="A128"/>
      <c r="B128"/>
      <c r="C128"/>
      <c r="D128"/>
      <c r="E128"/>
      <c r="F128"/>
      <c r="G128" s="108"/>
      <c r="H128" s="108"/>
      <c r="I128" s="108"/>
      <c r="J128" s="108"/>
      <c r="K128" s="108"/>
      <c r="L128"/>
      <c r="M128"/>
      <c r="N128"/>
    </row>
    <row r="129" spans="1:14" x14ac:dyDescent="0.3">
      <c r="A129"/>
      <c r="B129"/>
      <c r="C129"/>
      <c r="D129"/>
      <c r="E129"/>
      <c r="F129"/>
      <c r="G129" s="108"/>
      <c r="H129" s="108"/>
      <c r="I129" s="108"/>
      <c r="J129" s="108"/>
      <c r="K129" s="108"/>
      <c r="L129"/>
      <c r="M129"/>
      <c r="N129"/>
    </row>
    <row r="130" spans="1:14" x14ac:dyDescent="0.3">
      <c r="A130"/>
      <c r="B130"/>
      <c r="C130"/>
      <c r="D130"/>
      <c r="E130"/>
      <c r="F130"/>
      <c r="G130" s="108"/>
      <c r="H130" s="108"/>
      <c r="I130" s="108"/>
      <c r="J130" s="108"/>
      <c r="K130" s="108"/>
      <c r="L130"/>
      <c r="M130"/>
      <c r="N130"/>
    </row>
    <row r="131" spans="1:14" x14ac:dyDescent="0.3">
      <c r="A131"/>
      <c r="B131"/>
      <c r="C131"/>
      <c r="D131"/>
      <c r="E131"/>
      <c r="F131"/>
      <c r="G131" s="108"/>
      <c r="H131" s="108"/>
      <c r="I131" s="108"/>
      <c r="J131" s="108"/>
      <c r="K131" s="108"/>
      <c r="L131"/>
      <c r="M131"/>
      <c r="N131"/>
    </row>
    <row r="132" spans="1:14" x14ac:dyDescent="0.3">
      <c r="A132"/>
      <c r="B132"/>
      <c r="C132"/>
      <c r="D132"/>
      <c r="E132"/>
      <c r="F132"/>
      <c r="G132" s="108"/>
      <c r="H132" s="108"/>
      <c r="I132" s="108"/>
      <c r="J132" s="108"/>
      <c r="K132" s="108"/>
      <c r="L132"/>
      <c r="M132"/>
      <c r="N132"/>
    </row>
    <row r="133" spans="1:14" x14ac:dyDescent="0.3">
      <c r="A133"/>
      <c r="B133"/>
      <c r="C133"/>
      <c r="D133"/>
      <c r="E133"/>
      <c r="F133"/>
      <c r="G133" s="108"/>
      <c r="H133" s="108"/>
      <c r="I133" s="108"/>
      <c r="J133" s="108"/>
      <c r="K133" s="108"/>
      <c r="L133"/>
      <c r="M133"/>
      <c r="N133"/>
    </row>
    <row r="134" spans="1:14" x14ac:dyDescent="0.3">
      <c r="A134"/>
      <c r="B134"/>
      <c r="C134"/>
      <c r="D134"/>
      <c r="E134"/>
      <c r="F134"/>
      <c r="G134" s="108"/>
      <c r="H134" s="108"/>
      <c r="I134" s="108"/>
      <c r="J134" s="108"/>
      <c r="K134" s="108"/>
      <c r="L134"/>
      <c r="M134"/>
      <c r="N134"/>
    </row>
    <row r="135" spans="1:14" x14ac:dyDescent="0.3">
      <c r="A135"/>
      <c r="B135"/>
      <c r="C135"/>
      <c r="D135"/>
      <c r="E135"/>
      <c r="F135"/>
      <c r="G135" s="108"/>
      <c r="H135" s="108"/>
      <c r="I135" s="108"/>
      <c r="J135" s="108"/>
      <c r="K135" s="108"/>
      <c r="L135"/>
      <c r="M135"/>
      <c r="N135"/>
    </row>
    <row r="136" spans="1:14" x14ac:dyDescent="0.3">
      <c r="A136"/>
      <c r="B136"/>
      <c r="C136"/>
      <c r="D136"/>
      <c r="E136"/>
      <c r="F136"/>
      <c r="G136" s="108"/>
      <c r="H136" s="108"/>
      <c r="I136" s="108"/>
      <c r="J136" s="108"/>
      <c r="K136" s="108"/>
      <c r="L136"/>
      <c r="M136"/>
      <c r="N136"/>
    </row>
    <row r="137" spans="1:14" x14ac:dyDescent="0.3">
      <c r="A137"/>
      <c r="B137"/>
      <c r="C137"/>
      <c r="D137"/>
      <c r="E137"/>
      <c r="F137"/>
      <c r="G137" s="108"/>
      <c r="H137" s="108"/>
      <c r="I137" s="108"/>
      <c r="J137" s="108"/>
      <c r="K137" s="108"/>
      <c r="L137"/>
      <c r="M137"/>
      <c r="N137"/>
    </row>
    <row r="138" spans="1:14" x14ac:dyDescent="0.3">
      <c r="A138"/>
      <c r="B138"/>
      <c r="C138"/>
      <c r="D138"/>
      <c r="E138"/>
      <c r="F138"/>
      <c r="G138" s="108"/>
      <c r="H138" s="108"/>
      <c r="I138" s="108"/>
      <c r="J138" s="108"/>
      <c r="K138" s="108"/>
      <c r="L138"/>
      <c r="M138"/>
      <c r="N138"/>
    </row>
    <row r="139" spans="1:14" x14ac:dyDescent="0.3">
      <c r="A139"/>
      <c r="B139"/>
      <c r="C139"/>
      <c r="D139"/>
      <c r="E139"/>
      <c r="F139"/>
      <c r="G139" s="108"/>
      <c r="H139" s="108"/>
      <c r="I139" s="108"/>
      <c r="J139" s="108"/>
      <c r="K139" s="108"/>
      <c r="L139"/>
      <c r="M139"/>
      <c r="N139"/>
    </row>
  </sheetData>
  <mergeCells count="2">
    <mergeCell ref="A1:N1"/>
    <mergeCell ref="A17:C17"/>
  </mergeCells>
  <printOptions horizontalCentered="1"/>
  <pageMargins left="0.4" right="0.33" top="0.49" bottom="0.55000000000000004" header="0.3" footer="0.3"/>
  <pageSetup paperSize="9" scale="76" orientation="landscape" r:id="rId1"/>
  <headerFooter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9075-31E6-458F-B027-FF4BD4D46234}">
  <sheetPr>
    <tabColor rgb="FF92D050"/>
  </sheetPr>
  <dimension ref="A1:AU18"/>
  <sheetViews>
    <sheetView view="pageBreakPreview" topLeftCell="J1" zoomScaleNormal="100" zoomScaleSheetLayoutView="100" workbookViewId="0">
      <pane ySplit="4" topLeftCell="A5" activePane="bottomLeft" state="frozen"/>
      <selection pane="bottomLeft" activeCell="X12" sqref="X12"/>
    </sheetView>
  </sheetViews>
  <sheetFormatPr defaultColWidth="8.88671875" defaultRowHeight="14.4" x14ac:dyDescent="0.3"/>
  <cols>
    <col min="1" max="1" width="12.21875" style="66" bestFit="1" customWidth="1"/>
    <col min="2" max="2" width="38.33203125" style="66" bestFit="1" customWidth="1"/>
    <col min="3" max="3" width="49.21875" style="66" bestFit="1" customWidth="1"/>
    <col min="4" max="4" width="13.21875" style="61" customWidth="1"/>
    <col min="5" max="5" width="10.21875" style="61" bestFit="1" customWidth="1"/>
    <col min="6" max="6" width="16.109375" style="61" customWidth="1"/>
    <col min="7" max="7" width="14.77734375" style="61" customWidth="1"/>
    <col min="8" max="8" width="15.5546875" style="61" bestFit="1" customWidth="1"/>
    <col min="9" max="9" width="17" style="61" customWidth="1"/>
    <col min="10" max="10" width="12.88671875" style="61" customWidth="1"/>
    <col min="11" max="11" width="11" style="61" customWidth="1"/>
    <col min="12" max="12" width="8.44140625" style="61" customWidth="1"/>
    <col min="13" max="13" width="8.33203125" style="61" bestFit="1" customWidth="1"/>
    <col min="14" max="14" width="8.88671875" style="66" customWidth="1"/>
    <col min="15" max="15" width="10.6640625" style="66" customWidth="1"/>
    <col min="16" max="16" width="10" style="66" bestFit="1" customWidth="1"/>
    <col min="17" max="17" width="9.44140625" style="66" bestFit="1" customWidth="1"/>
    <col min="18" max="18" width="5.5546875" style="66" bestFit="1" customWidth="1"/>
    <col min="19" max="19" width="11.44140625" style="66" customWidth="1"/>
    <col min="20" max="20" width="10.109375" style="66" customWidth="1"/>
    <col min="21" max="21" width="11" style="66" bestFit="1" customWidth="1"/>
    <col min="22" max="45" width="8.77734375" style="66" customWidth="1"/>
    <col min="46" max="46" width="3.88671875" style="66" bestFit="1" customWidth="1"/>
    <col min="47" max="47" width="10" style="66" bestFit="1" customWidth="1"/>
    <col min="48" max="48" width="5" style="66" bestFit="1" customWidth="1"/>
    <col min="49" max="16384" width="8.88671875" style="66"/>
  </cols>
  <sheetData>
    <row r="1" spans="1:47" x14ac:dyDescent="0.3">
      <c r="V1" s="124">
        <v>2026</v>
      </c>
      <c r="W1" s="124"/>
      <c r="X1" s="124"/>
      <c r="Y1" s="124"/>
      <c r="Z1" s="124"/>
      <c r="AA1" s="124"/>
      <c r="AB1" s="124"/>
      <c r="AC1" s="124"/>
      <c r="AD1" s="124"/>
      <c r="AE1" s="125">
        <v>2027</v>
      </c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6">
        <v>2028</v>
      </c>
      <c r="AR1" s="126"/>
      <c r="AS1" s="126"/>
    </row>
    <row r="2" spans="1:47" x14ac:dyDescent="0.3">
      <c r="V2" s="110">
        <v>4</v>
      </c>
      <c r="W2" s="110">
        <v>5</v>
      </c>
      <c r="X2" s="110">
        <v>6</v>
      </c>
      <c r="Y2" s="110">
        <v>7</v>
      </c>
      <c r="Z2" s="110">
        <v>8</v>
      </c>
      <c r="AA2" s="110">
        <v>9</v>
      </c>
      <c r="AB2" s="110">
        <v>10</v>
      </c>
      <c r="AC2" s="110">
        <v>11</v>
      </c>
      <c r="AD2" s="110">
        <v>12</v>
      </c>
      <c r="AE2" s="111">
        <v>1</v>
      </c>
      <c r="AF2" s="111">
        <v>2</v>
      </c>
      <c r="AG2" s="111">
        <v>3</v>
      </c>
      <c r="AH2" s="111">
        <v>4</v>
      </c>
      <c r="AI2" s="111">
        <v>5</v>
      </c>
      <c r="AJ2" s="111">
        <v>6</v>
      </c>
      <c r="AK2" s="111">
        <v>7</v>
      </c>
      <c r="AL2" s="111">
        <v>8</v>
      </c>
      <c r="AM2" s="111">
        <v>9</v>
      </c>
      <c r="AN2" s="111">
        <v>10</v>
      </c>
      <c r="AO2" s="111">
        <v>11</v>
      </c>
      <c r="AP2" s="111">
        <v>12</v>
      </c>
      <c r="AQ2" s="112">
        <v>1</v>
      </c>
      <c r="AR2" s="112">
        <v>2</v>
      </c>
      <c r="AS2" s="112">
        <v>3</v>
      </c>
      <c r="AU2" s="61" t="s">
        <v>425</v>
      </c>
    </row>
    <row r="4" spans="1:47" s="113" customFormat="1" ht="43.2" x14ac:dyDescent="0.3">
      <c r="A4" s="113" t="s">
        <v>426</v>
      </c>
      <c r="B4" s="113" t="s">
        <v>427</v>
      </c>
      <c r="C4" s="113" t="s">
        <v>428</v>
      </c>
      <c r="D4" s="113" t="s">
        <v>429</v>
      </c>
      <c r="E4" s="113" t="s">
        <v>430</v>
      </c>
      <c r="F4" s="113" t="s">
        <v>431</v>
      </c>
      <c r="G4" s="113" t="s">
        <v>432</v>
      </c>
      <c r="H4" s="113" t="s">
        <v>433</v>
      </c>
      <c r="I4" s="113" t="s">
        <v>434</v>
      </c>
      <c r="J4" s="113" t="s">
        <v>435</v>
      </c>
      <c r="K4" s="113" t="s">
        <v>436</v>
      </c>
      <c r="L4" s="113" t="s">
        <v>437</v>
      </c>
      <c r="M4" s="113" t="s">
        <v>438</v>
      </c>
      <c r="N4" s="113" t="s">
        <v>439</v>
      </c>
      <c r="O4" s="113" t="s">
        <v>440</v>
      </c>
      <c r="P4" s="113" t="s">
        <v>441</v>
      </c>
      <c r="Q4" s="113" t="s">
        <v>442</v>
      </c>
      <c r="R4" s="113" t="s">
        <v>443</v>
      </c>
      <c r="S4" s="113" t="s">
        <v>444</v>
      </c>
      <c r="T4" s="113" t="s">
        <v>445</v>
      </c>
      <c r="U4" s="113" t="s">
        <v>446</v>
      </c>
    </row>
    <row r="5" spans="1:47" x14ac:dyDescent="0.3">
      <c r="U5" s="114"/>
    </row>
    <row r="6" spans="1:47" x14ac:dyDescent="0.3">
      <c r="A6" s="66" t="s">
        <v>447</v>
      </c>
      <c r="B6" s="66" t="s">
        <v>448</v>
      </c>
      <c r="C6" s="66" t="s">
        <v>449</v>
      </c>
      <c r="D6" s="115">
        <v>46113</v>
      </c>
      <c r="E6" s="61">
        <v>12</v>
      </c>
      <c r="F6" s="115">
        <f>D6+(E6*30.416)</f>
        <v>46477.991999999998</v>
      </c>
      <c r="G6" s="115">
        <f>D6+((E6*1.5)*30.416)</f>
        <v>46660.487999999998</v>
      </c>
      <c r="H6" s="116">
        <f>(G6-D6)/30.4375</f>
        <v>17.987285420944477</v>
      </c>
      <c r="I6" s="117">
        <v>0.5</v>
      </c>
      <c r="J6" s="117">
        <v>0.4</v>
      </c>
      <c r="K6" s="117">
        <v>0.3</v>
      </c>
      <c r="L6" s="117">
        <v>0.35</v>
      </c>
      <c r="M6" s="117">
        <v>0.05</v>
      </c>
      <c r="N6" s="118">
        <f>SUM(I6:M6)</f>
        <v>1.5999999999999999</v>
      </c>
      <c r="O6" s="119">
        <v>22000</v>
      </c>
      <c r="P6" s="119">
        <v>15000</v>
      </c>
      <c r="Q6" s="119">
        <f>O6-P6</f>
        <v>7000</v>
      </c>
      <c r="R6" s="119">
        <f>O6*0.22727%</f>
        <v>49.999399999999994</v>
      </c>
      <c r="S6" s="119">
        <v>5.56</v>
      </c>
      <c r="T6" s="119">
        <v>0</v>
      </c>
      <c r="U6" s="119">
        <f>R6-T6</f>
        <v>49.999399999999994</v>
      </c>
      <c r="V6" s="119"/>
      <c r="X6" s="119"/>
      <c r="Y6" s="119">
        <f>$U6/18</f>
        <v>2.7777444444444441</v>
      </c>
      <c r="Z6" s="119">
        <f t="shared" ref="Z6:AP6" si="0">$R6/18</f>
        <v>2.7777444444444441</v>
      </c>
      <c r="AA6" s="119">
        <f t="shared" si="0"/>
        <v>2.7777444444444441</v>
      </c>
      <c r="AB6" s="119">
        <f t="shared" si="0"/>
        <v>2.7777444444444441</v>
      </c>
      <c r="AC6" s="119">
        <f t="shared" si="0"/>
        <v>2.7777444444444441</v>
      </c>
      <c r="AD6" s="119">
        <f t="shared" si="0"/>
        <v>2.7777444444444441</v>
      </c>
      <c r="AE6" s="119">
        <f t="shared" si="0"/>
        <v>2.7777444444444441</v>
      </c>
      <c r="AF6" s="119">
        <f t="shared" si="0"/>
        <v>2.7777444444444441</v>
      </c>
      <c r="AG6" s="119">
        <f t="shared" si="0"/>
        <v>2.7777444444444441</v>
      </c>
      <c r="AH6" s="119">
        <f t="shared" si="0"/>
        <v>2.7777444444444441</v>
      </c>
      <c r="AI6" s="119">
        <f t="shared" si="0"/>
        <v>2.7777444444444441</v>
      </c>
      <c r="AJ6" s="119">
        <f t="shared" si="0"/>
        <v>2.7777444444444441</v>
      </c>
      <c r="AK6" s="119">
        <f t="shared" si="0"/>
        <v>2.7777444444444441</v>
      </c>
      <c r="AL6" s="119">
        <f t="shared" si="0"/>
        <v>2.7777444444444441</v>
      </c>
      <c r="AM6" s="119">
        <f t="shared" si="0"/>
        <v>2.7777444444444441</v>
      </c>
      <c r="AN6" s="119">
        <f t="shared" si="0"/>
        <v>2.7777444444444441</v>
      </c>
      <c r="AO6" s="119">
        <f t="shared" si="0"/>
        <v>2.7777444444444441</v>
      </c>
      <c r="AP6" s="119">
        <f t="shared" si="0"/>
        <v>2.7777444444444441</v>
      </c>
      <c r="AQ6" s="119"/>
      <c r="AR6" s="119"/>
      <c r="AS6" s="119"/>
      <c r="AT6" s="119"/>
      <c r="AU6" s="119">
        <f t="shared" ref="AU6" si="1">SUM(V6:AT6)</f>
        <v>49.999399999999994</v>
      </c>
    </row>
    <row r="7" spans="1:47" x14ac:dyDescent="0.3">
      <c r="N7" s="117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</row>
    <row r="8" spans="1:47" x14ac:dyDescent="0.3">
      <c r="A8" s="66" t="s">
        <v>447</v>
      </c>
      <c r="B8" s="66" t="s">
        <v>450</v>
      </c>
      <c r="C8" s="66" t="s">
        <v>451</v>
      </c>
      <c r="D8" s="115">
        <v>46174</v>
      </c>
      <c r="E8" s="61">
        <v>3</v>
      </c>
      <c r="F8" s="115">
        <f>D8+(E8*30.416)</f>
        <v>46265.248</v>
      </c>
      <c r="G8" s="115">
        <f>D8+((E8*1.5)*30.416)</f>
        <v>46310.872000000003</v>
      </c>
      <c r="H8" s="116">
        <f>(G8-D8)/30.4375</f>
        <v>4.4968213552362393</v>
      </c>
      <c r="I8" s="117">
        <v>0.5</v>
      </c>
      <c r="J8" s="117">
        <v>0</v>
      </c>
      <c r="K8" s="117">
        <v>0.3</v>
      </c>
      <c r="L8" s="117">
        <v>0</v>
      </c>
      <c r="M8" s="117">
        <v>0.1</v>
      </c>
      <c r="N8" s="118">
        <f>SUM(I8:M8)</f>
        <v>0.9</v>
      </c>
      <c r="O8" s="119">
        <v>842.54</v>
      </c>
      <c r="P8" s="119">
        <v>0</v>
      </c>
      <c r="Q8" s="119">
        <f>O8-P8</f>
        <v>842.54</v>
      </c>
      <c r="R8" s="119">
        <f>Q8*1.2%</f>
        <v>10.110479999999999</v>
      </c>
      <c r="S8" s="119">
        <v>0</v>
      </c>
      <c r="T8" s="119">
        <v>0</v>
      </c>
      <c r="U8" s="119">
        <f>R8-T8</f>
        <v>10.110479999999999</v>
      </c>
      <c r="V8" s="119"/>
      <c r="W8" s="119"/>
      <c r="X8" s="119"/>
      <c r="Y8" s="119"/>
      <c r="Z8" s="119"/>
      <c r="AA8" s="119">
        <f>$U8/4</f>
        <v>2.5276199999999998</v>
      </c>
      <c r="AB8" s="119">
        <f t="shared" ref="AB8:AD8" si="2">$R8/4</f>
        <v>2.5276199999999998</v>
      </c>
      <c r="AC8" s="119">
        <f t="shared" si="2"/>
        <v>2.5276199999999998</v>
      </c>
      <c r="AD8" s="119">
        <f t="shared" si="2"/>
        <v>2.5276199999999998</v>
      </c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>
        <f t="shared" ref="AU8:AU9" si="3">SUM(V8:AT8)</f>
        <v>10.110479999999999</v>
      </c>
    </row>
    <row r="9" spans="1:47" x14ac:dyDescent="0.3">
      <c r="A9" s="66" t="s">
        <v>447</v>
      </c>
      <c r="B9" s="66" t="s">
        <v>450</v>
      </c>
      <c r="C9" s="66" t="s">
        <v>452</v>
      </c>
      <c r="D9" s="115">
        <v>46054</v>
      </c>
      <c r="E9" s="61">
        <v>3</v>
      </c>
      <c r="F9" s="115">
        <f>D9+(E9*30.416)</f>
        <v>46145.248</v>
      </c>
      <c r="G9" s="115">
        <f>D9+((E9*1.5)*30.416)</f>
        <v>46190.872000000003</v>
      </c>
      <c r="H9" s="116">
        <f>(G9-D9)/30.4375</f>
        <v>4.4968213552362393</v>
      </c>
      <c r="I9" s="117">
        <v>0.5</v>
      </c>
      <c r="J9" s="117">
        <v>0</v>
      </c>
      <c r="K9" s="117">
        <v>0.3</v>
      </c>
      <c r="L9" s="117">
        <v>0</v>
      </c>
      <c r="M9" s="117">
        <v>0.1</v>
      </c>
      <c r="N9" s="118">
        <f>SUM(I9:M9)</f>
        <v>0.9</v>
      </c>
      <c r="O9" s="119">
        <v>715.11</v>
      </c>
      <c r="P9" s="119">
        <v>0</v>
      </c>
      <c r="Q9" s="119">
        <v>715.11</v>
      </c>
      <c r="R9" s="119">
        <v>8.58</v>
      </c>
      <c r="S9" s="119">
        <v>1.72</v>
      </c>
      <c r="T9" s="119">
        <f>4.29+2.57</f>
        <v>6.8599999999999994</v>
      </c>
      <c r="U9" s="119">
        <f>R9-T9</f>
        <v>1.7200000000000006</v>
      </c>
      <c r="V9" s="119">
        <f>$T9/2</f>
        <v>3.4299999999999997</v>
      </c>
      <c r="W9" s="119">
        <f>$T9/2</f>
        <v>3.4299999999999997</v>
      </c>
      <c r="X9" s="119">
        <v>1.72</v>
      </c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>
        <f t="shared" si="3"/>
        <v>8.58</v>
      </c>
    </row>
    <row r="10" spans="1:47" x14ac:dyDescent="0.3">
      <c r="B10" s="120"/>
      <c r="N10" s="117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</row>
    <row r="11" spans="1:47" x14ac:dyDescent="0.3">
      <c r="N11" s="117"/>
      <c r="R11" s="119"/>
      <c r="S11" s="119"/>
      <c r="T11" s="119"/>
      <c r="U11" s="119">
        <f>SUM(U6:U10)</f>
        <v>61.829879999999989</v>
      </c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</row>
    <row r="12" spans="1:47" ht="43.2" x14ac:dyDescent="0.3">
      <c r="N12" s="117">
        <v>5</v>
      </c>
      <c r="R12" s="119"/>
      <c r="S12" s="119"/>
      <c r="T12" s="121" t="s">
        <v>453</v>
      </c>
      <c r="U12" s="121"/>
      <c r="V12" s="119">
        <f t="shared" ref="V12:AJ12" si="4">SUM(V6:V11)</f>
        <v>3.4299999999999997</v>
      </c>
      <c r="W12" s="119">
        <f t="shared" si="4"/>
        <v>3.4299999999999997</v>
      </c>
      <c r="X12" s="119">
        <f t="shared" si="4"/>
        <v>1.72</v>
      </c>
      <c r="Y12" s="119">
        <f t="shared" si="4"/>
        <v>2.7777444444444441</v>
      </c>
      <c r="Z12" s="119">
        <f t="shared" si="4"/>
        <v>2.7777444444444441</v>
      </c>
      <c r="AA12" s="119">
        <f t="shared" si="4"/>
        <v>5.3053644444444439</v>
      </c>
      <c r="AB12" s="119">
        <f t="shared" si="4"/>
        <v>5.3053644444444439</v>
      </c>
      <c r="AC12" s="119">
        <f t="shared" si="4"/>
        <v>5.3053644444444439</v>
      </c>
      <c r="AD12" s="119">
        <f t="shared" si="4"/>
        <v>5.3053644444444439</v>
      </c>
      <c r="AE12" s="119">
        <f t="shared" si="4"/>
        <v>2.7777444444444441</v>
      </c>
      <c r="AF12" s="119">
        <f t="shared" si="4"/>
        <v>2.7777444444444441</v>
      </c>
      <c r="AG12" s="119">
        <f t="shared" si="4"/>
        <v>2.7777444444444441</v>
      </c>
      <c r="AH12" s="119">
        <f t="shared" si="4"/>
        <v>2.7777444444444441</v>
      </c>
      <c r="AI12" s="119">
        <f t="shared" si="4"/>
        <v>2.7777444444444441</v>
      </c>
      <c r="AJ12" s="119">
        <f t="shared" si="4"/>
        <v>2.7777444444444441</v>
      </c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>
        <f>SUM(V12:AT12)</f>
        <v>52.02341333333333</v>
      </c>
    </row>
    <row r="13" spans="1:47" x14ac:dyDescent="0.3"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</row>
    <row r="14" spans="1:47" x14ac:dyDescent="0.3">
      <c r="N14" s="122"/>
      <c r="O14" s="122"/>
      <c r="P14" s="122"/>
      <c r="Q14" s="122"/>
      <c r="R14" s="122"/>
      <c r="S14" s="122"/>
      <c r="T14" s="122"/>
      <c r="U14" s="122"/>
      <c r="V14" s="123">
        <v>30.61</v>
      </c>
      <c r="W14" s="123">
        <v>30.36</v>
      </c>
      <c r="X14" s="123">
        <v>30.31</v>
      </c>
      <c r="Y14" s="123">
        <v>15.56</v>
      </c>
      <c r="Z14" s="123">
        <v>15.37</v>
      </c>
      <c r="AA14" s="123">
        <v>14.66</v>
      </c>
      <c r="AB14" s="123">
        <v>13.21</v>
      </c>
      <c r="AC14" s="123">
        <v>13.21</v>
      </c>
      <c r="AD14" s="123">
        <v>10.81</v>
      </c>
      <c r="AE14" s="123">
        <v>10.02</v>
      </c>
      <c r="AF14" s="123">
        <v>9.91</v>
      </c>
      <c r="AG14" s="123">
        <v>9.98</v>
      </c>
      <c r="AH14" s="123">
        <v>7.49</v>
      </c>
      <c r="AI14" s="123">
        <v>6.49</v>
      </c>
      <c r="AJ14" s="123">
        <v>6.27</v>
      </c>
      <c r="AK14" s="123"/>
      <c r="AL14" s="123"/>
      <c r="AM14" s="123"/>
      <c r="AN14" s="123"/>
      <c r="AO14" s="123"/>
      <c r="AP14" s="123"/>
      <c r="AQ14" s="123"/>
      <c r="AR14" s="123"/>
      <c r="AS14" s="123"/>
      <c r="AT14" s="119"/>
      <c r="AU14" s="119">
        <f>SUM(V14:AT14)</f>
        <v>224.26000000000005</v>
      </c>
    </row>
    <row r="15" spans="1:47" x14ac:dyDescent="0.3"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</row>
    <row r="16" spans="1:47" x14ac:dyDescent="0.3">
      <c r="V16" s="119">
        <f>V12-V14</f>
        <v>-27.18</v>
      </c>
      <c r="W16" s="119">
        <f t="shared" ref="W16:AJ16" si="5">W12-W14</f>
        <v>-26.93</v>
      </c>
      <c r="X16" s="119">
        <f t="shared" si="5"/>
        <v>-28.59</v>
      </c>
      <c r="Y16" s="119">
        <f t="shared" si="5"/>
        <v>-12.782255555555556</v>
      </c>
      <c r="Z16" s="119">
        <f t="shared" si="5"/>
        <v>-12.592255555555555</v>
      </c>
      <c r="AA16" s="119">
        <f t="shared" si="5"/>
        <v>-9.3546355555555571</v>
      </c>
      <c r="AB16" s="119">
        <f t="shared" si="5"/>
        <v>-7.904635555555557</v>
      </c>
      <c r="AC16" s="119">
        <f t="shared" si="5"/>
        <v>-7.904635555555557</v>
      </c>
      <c r="AD16" s="119">
        <f t="shared" si="5"/>
        <v>-5.5046355555555566</v>
      </c>
      <c r="AE16" s="119">
        <f t="shared" si="5"/>
        <v>-7.2422555555555554</v>
      </c>
      <c r="AF16" s="119">
        <f t="shared" si="5"/>
        <v>-7.132255555555556</v>
      </c>
      <c r="AG16" s="119">
        <f t="shared" si="5"/>
        <v>-7.2022555555555563</v>
      </c>
      <c r="AH16" s="119">
        <f t="shared" si="5"/>
        <v>-4.7122555555555561</v>
      </c>
      <c r="AI16" s="119">
        <f t="shared" si="5"/>
        <v>-3.7122555555555561</v>
      </c>
      <c r="AJ16" s="119">
        <f t="shared" si="5"/>
        <v>-3.4922555555555554</v>
      </c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>
        <f>AU12-AU14</f>
        <v>-172.23658666666671</v>
      </c>
    </row>
    <row r="18" spans="22:46" x14ac:dyDescent="0.3">
      <c r="V18" s="119">
        <f>V12-V14</f>
        <v>-27.18</v>
      </c>
      <c r="W18" s="119">
        <f>V18+W12-W14</f>
        <v>-54.11</v>
      </c>
      <c r="X18" s="119">
        <f t="shared" ref="X18:AJ18" si="6">W18+X12-X14</f>
        <v>-82.7</v>
      </c>
      <c r="Y18" s="119">
        <f t="shared" si="6"/>
        <v>-95.482255555555554</v>
      </c>
      <c r="Z18" s="119">
        <f t="shared" si="6"/>
        <v>-108.07451111111112</v>
      </c>
      <c r="AA18" s="119">
        <f>Z18+AA12-AA14</f>
        <v>-117.42914666666667</v>
      </c>
      <c r="AB18" s="119">
        <f t="shared" si="6"/>
        <v>-125.33378222222223</v>
      </c>
      <c r="AC18" s="119">
        <f t="shared" si="6"/>
        <v>-133.23841777777778</v>
      </c>
      <c r="AD18" s="119">
        <f t="shared" si="6"/>
        <v>-138.74305333333334</v>
      </c>
      <c r="AE18" s="119">
        <f t="shared" si="6"/>
        <v>-145.98530888888891</v>
      </c>
      <c r="AF18" s="119">
        <f t="shared" si="6"/>
        <v>-153.11756444444447</v>
      </c>
      <c r="AG18" s="119">
        <f t="shared" si="6"/>
        <v>-160.31982000000002</v>
      </c>
      <c r="AH18" s="119">
        <f t="shared" si="6"/>
        <v>-165.03207555555559</v>
      </c>
      <c r="AI18" s="119">
        <f t="shared" si="6"/>
        <v>-168.74433111111117</v>
      </c>
      <c r="AJ18" s="119">
        <f t="shared" si="6"/>
        <v>-172.23658666666674</v>
      </c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</row>
  </sheetData>
  <mergeCells count="3">
    <mergeCell ref="V1:AD1"/>
    <mergeCell ref="AE1:AP1"/>
    <mergeCell ref="AQ1:AS1"/>
  </mergeCells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22"/>
  <sheetViews>
    <sheetView view="pageBreakPreview" zoomScale="60" zoomScaleNormal="100" workbookViewId="0">
      <selection activeCell="A6" sqref="A6"/>
    </sheetView>
  </sheetViews>
  <sheetFormatPr defaultRowHeight="14.4" x14ac:dyDescent="0.3"/>
  <cols>
    <col min="1" max="1" width="26.33203125" style="6" customWidth="1"/>
    <col min="2" max="2" width="4" bestFit="1" customWidth="1"/>
    <col min="3" max="3" width="37.33203125" style="6" customWidth="1"/>
    <col min="4" max="4" width="20.5546875" style="6" customWidth="1"/>
    <col min="5" max="5" width="9.6640625" style="6" customWidth="1"/>
    <col min="6" max="6" width="21.6640625" style="6" customWidth="1"/>
  </cols>
  <sheetData>
    <row r="1" spans="1:7" x14ac:dyDescent="0.3">
      <c r="A1" s="135" t="s">
        <v>42</v>
      </c>
    </row>
    <row r="2" spans="1:7" x14ac:dyDescent="0.3">
      <c r="A2" s="135"/>
    </row>
    <row r="3" spans="1:7" ht="28.5" customHeight="1" thickBot="1" x14ac:dyDescent="0.35">
      <c r="A3" s="12" t="s">
        <v>1</v>
      </c>
      <c r="C3" s="11" t="s">
        <v>43</v>
      </c>
    </row>
    <row r="4" spans="1:7" ht="28.5" customHeight="1" thickBot="1" x14ac:dyDescent="0.35">
      <c r="A4" s="12" t="s">
        <v>2</v>
      </c>
      <c r="C4" s="18" t="s">
        <v>44</v>
      </c>
      <c r="D4" s="17" t="s">
        <v>75</v>
      </c>
    </row>
    <row r="5" spans="1:7" ht="15.6" x14ac:dyDescent="0.3">
      <c r="A5" s="13" t="s">
        <v>0</v>
      </c>
      <c r="C5" s="11" t="s">
        <v>45</v>
      </c>
    </row>
    <row r="6" spans="1:7" ht="38.25" customHeight="1" x14ac:dyDescent="0.3">
      <c r="A6" s="13" t="s">
        <v>7</v>
      </c>
      <c r="C6" s="11" t="s">
        <v>46</v>
      </c>
      <c r="D6" s="9" t="s">
        <v>64</v>
      </c>
      <c r="F6" s="11" t="s">
        <v>54</v>
      </c>
    </row>
    <row r="7" spans="1:7" ht="38.25" customHeight="1" x14ac:dyDescent="0.3">
      <c r="A7" s="13" t="s">
        <v>8</v>
      </c>
      <c r="C7" s="11" t="s">
        <v>47</v>
      </c>
      <c r="D7" s="10" t="s">
        <v>68</v>
      </c>
      <c r="E7" s="7"/>
      <c r="F7" s="11" t="s">
        <v>55</v>
      </c>
    </row>
    <row r="8" spans="1:7" ht="30" customHeight="1" x14ac:dyDescent="0.3">
      <c r="A8" s="13" t="s">
        <v>9</v>
      </c>
      <c r="C8" s="11" t="s">
        <v>48</v>
      </c>
      <c r="D8" s="10" t="s">
        <v>69</v>
      </c>
      <c r="E8" s="7"/>
      <c r="F8" s="11" t="s">
        <v>56</v>
      </c>
    </row>
    <row r="9" spans="1:7" ht="36" customHeight="1" x14ac:dyDescent="0.6">
      <c r="A9" s="14" t="s">
        <v>10</v>
      </c>
      <c r="C9" s="11" t="s">
        <v>49</v>
      </c>
      <c r="D9" s="10" t="s">
        <v>65</v>
      </c>
      <c r="F9" s="11" t="s">
        <v>57</v>
      </c>
    </row>
    <row r="10" spans="1:7" ht="31.5" customHeight="1" thickBot="1" x14ac:dyDescent="0.35">
      <c r="A10" s="13" t="s">
        <v>11</v>
      </c>
      <c r="C10" s="11" t="s">
        <v>50</v>
      </c>
    </row>
    <row r="11" spans="1:7" ht="43.8" thickBot="1" x14ac:dyDescent="0.35">
      <c r="A11" s="84" t="s">
        <v>250</v>
      </c>
      <c r="B11" s="85"/>
      <c r="C11" s="86" t="s">
        <v>248</v>
      </c>
      <c r="D11" s="84" t="s">
        <v>249</v>
      </c>
      <c r="F11" s="17" t="s">
        <v>52</v>
      </c>
      <c r="G11" s="17"/>
    </row>
    <row r="12" spans="1:7" ht="53.25" customHeight="1" thickBot="1" x14ac:dyDescent="0.35">
      <c r="A12" s="13" t="s">
        <v>12</v>
      </c>
      <c r="C12" s="11" t="s">
        <v>51</v>
      </c>
      <c r="F12" s="17" t="s">
        <v>52</v>
      </c>
    </row>
    <row r="13" spans="1:7" ht="35.25" customHeight="1" x14ac:dyDescent="0.3">
      <c r="A13" s="12" t="s">
        <v>6</v>
      </c>
      <c r="C13" s="11" t="s">
        <v>53</v>
      </c>
      <c r="D13" s="10" t="s">
        <v>73</v>
      </c>
      <c r="F13" s="16" t="s">
        <v>58</v>
      </c>
    </row>
    <row r="14" spans="1:7" ht="33" customHeight="1" x14ac:dyDescent="0.3">
      <c r="A14" s="12" t="s">
        <v>71</v>
      </c>
      <c r="C14" s="11" t="s">
        <v>53</v>
      </c>
      <c r="D14" s="10" t="s">
        <v>70</v>
      </c>
      <c r="F14" s="16"/>
    </row>
    <row r="15" spans="1:7" ht="44.25" customHeight="1" x14ac:dyDescent="0.3">
      <c r="A15" s="15" t="s">
        <v>13</v>
      </c>
      <c r="C15" s="11" t="s">
        <v>51</v>
      </c>
      <c r="F15" s="11" t="s">
        <v>52</v>
      </c>
    </row>
    <row r="16" spans="1:7" ht="42" customHeight="1" x14ac:dyDescent="0.6">
      <c r="A16" s="14" t="s">
        <v>14</v>
      </c>
      <c r="B16" t="s">
        <v>67</v>
      </c>
      <c r="C16" s="11" t="s">
        <v>59</v>
      </c>
      <c r="F16" s="11" t="s">
        <v>60</v>
      </c>
    </row>
    <row r="17" spans="1:6" ht="42" customHeight="1" x14ac:dyDescent="0.3">
      <c r="A17" s="13" t="s">
        <v>3</v>
      </c>
      <c r="B17" t="s">
        <v>67</v>
      </c>
      <c r="C17" s="11" t="s">
        <v>61</v>
      </c>
      <c r="F17" s="11" t="s">
        <v>52</v>
      </c>
    </row>
    <row r="18" spans="1:6" ht="21" customHeight="1" x14ac:dyDescent="0.6">
      <c r="A18" s="14" t="s">
        <v>15</v>
      </c>
      <c r="C18" s="53" t="s">
        <v>62</v>
      </c>
    </row>
    <row r="19" spans="1:6" ht="42" customHeight="1" thickBot="1" x14ac:dyDescent="0.35">
      <c r="A19" s="13" t="s">
        <v>4</v>
      </c>
      <c r="B19" t="s">
        <v>67</v>
      </c>
      <c r="C19" s="11" t="s">
        <v>72</v>
      </c>
      <c r="D19" s="10" t="s">
        <v>66</v>
      </c>
      <c r="E19" s="6" t="s">
        <v>74</v>
      </c>
      <c r="F19" s="11" t="s">
        <v>63</v>
      </c>
    </row>
    <row r="20" spans="1:6" ht="43.8" thickBot="1" x14ac:dyDescent="0.35">
      <c r="A20" s="72" t="s">
        <v>251</v>
      </c>
      <c r="C20" s="53" t="s">
        <v>248</v>
      </c>
      <c r="D20" s="73" t="s">
        <v>249</v>
      </c>
      <c r="F20" s="17" t="s">
        <v>52</v>
      </c>
    </row>
    <row r="22" spans="1:6" ht="57.6" x14ac:dyDescent="0.3">
      <c r="E22" s="87" t="s">
        <v>268</v>
      </c>
      <c r="F22" s="6" t="s">
        <v>267</v>
      </c>
    </row>
  </sheetData>
  <mergeCells count="1">
    <mergeCell ref="A1:A2"/>
  </mergeCells>
  <pageMargins left="0.23622047244094499" right="0.23622047244094499" top="0.196850393700787" bottom="0.15748031496063" header="0.31496062992126" footer="0.31496062992126"/>
  <pageSetup paperSize="9" scale="7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C45F-E14D-4213-906B-0C0061C37813}">
  <sheetPr>
    <tabColor rgb="FF92D050"/>
  </sheetPr>
  <dimension ref="A1:I70"/>
  <sheetViews>
    <sheetView view="pageBreakPreview" topLeftCell="A51" zoomScale="85" zoomScaleNormal="100" zoomScaleSheetLayoutView="85" workbookViewId="0">
      <selection activeCell="K26" sqref="K26"/>
    </sheetView>
  </sheetViews>
  <sheetFormatPr defaultRowHeight="14.4" x14ac:dyDescent="0.3"/>
  <cols>
    <col min="1" max="1" width="18.6640625" style="61" bestFit="1" customWidth="1"/>
    <col min="2" max="2" width="5.6640625" style="61" customWidth="1"/>
    <col min="3" max="3" width="30.109375" style="61" customWidth="1"/>
    <col min="4" max="4" width="24.5546875" style="61" bestFit="1" customWidth="1"/>
    <col min="5" max="5" width="7.44140625" style="61" customWidth="1"/>
    <col min="6" max="6" width="8.44140625" style="61" customWidth="1"/>
    <col min="7" max="7" width="4.109375" style="61" bestFit="1" customWidth="1"/>
    <col min="8" max="8" width="7.6640625" style="61" customWidth="1"/>
    <col min="9" max="9" width="11.5546875" style="61" customWidth="1"/>
  </cols>
  <sheetData>
    <row r="1" spans="1:9" ht="23.4" customHeight="1" x14ac:dyDescent="0.3">
      <c r="A1" s="69" t="s">
        <v>271</v>
      </c>
      <c r="B1" s="66"/>
      <c r="C1" s="67"/>
      <c r="D1" s="66"/>
      <c r="E1" s="66"/>
      <c r="F1" s="66"/>
      <c r="G1" s="66"/>
      <c r="H1" s="66"/>
      <c r="I1" s="66"/>
    </row>
    <row r="3" spans="1:9" x14ac:dyDescent="0.3">
      <c r="A3" s="91" t="s">
        <v>318</v>
      </c>
    </row>
    <row r="4" spans="1:9" x14ac:dyDescent="0.3">
      <c r="C4" s="61" t="s">
        <v>273</v>
      </c>
    </row>
    <row r="5" spans="1:9" x14ac:dyDescent="0.3">
      <c r="C5" s="61" t="s">
        <v>274</v>
      </c>
    </row>
    <row r="6" spans="1:9" x14ac:dyDescent="0.3">
      <c r="C6" s="61" t="s">
        <v>151</v>
      </c>
    </row>
    <row r="7" spans="1:9" x14ac:dyDescent="0.3">
      <c r="C7" s="61" t="s">
        <v>165</v>
      </c>
    </row>
    <row r="8" spans="1:9" x14ac:dyDescent="0.3">
      <c r="C8" s="61" t="s">
        <v>275</v>
      </c>
    </row>
    <row r="9" spans="1:9" x14ac:dyDescent="0.3">
      <c r="C9" s="61" t="s">
        <v>276</v>
      </c>
    </row>
    <row r="10" spans="1:9" x14ac:dyDescent="0.3">
      <c r="C10" s="61" t="s">
        <v>277</v>
      </c>
    </row>
    <row r="11" spans="1:9" x14ac:dyDescent="0.3">
      <c r="C11" s="61" t="s">
        <v>278</v>
      </c>
    </row>
    <row r="13" spans="1:9" x14ac:dyDescent="0.3">
      <c r="A13" s="91" t="s">
        <v>279</v>
      </c>
      <c r="C13" s="61" t="s">
        <v>280</v>
      </c>
    </row>
    <row r="14" spans="1:9" x14ac:dyDescent="0.3">
      <c r="C14" s="61" t="s">
        <v>281</v>
      </c>
    </row>
    <row r="15" spans="1:9" x14ac:dyDescent="0.3">
      <c r="C15" s="61" t="s">
        <v>282</v>
      </c>
    </row>
    <row r="16" spans="1:9" x14ac:dyDescent="0.3">
      <c r="C16" s="61" t="s">
        <v>283</v>
      </c>
    </row>
    <row r="17" spans="1:3" x14ac:dyDescent="0.3">
      <c r="C17" s="61" t="s">
        <v>284</v>
      </c>
    </row>
    <row r="18" spans="1:3" x14ac:dyDescent="0.3">
      <c r="C18" s="61" t="s">
        <v>285</v>
      </c>
    </row>
    <row r="20" spans="1:3" x14ac:dyDescent="0.3">
      <c r="A20" s="91" t="s">
        <v>286</v>
      </c>
    </row>
    <row r="21" spans="1:3" x14ac:dyDescent="0.3">
      <c r="C21" s="61" t="s">
        <v>287</v>
      </c>
    </row>
    <row r="22" spans="1:3" x14ac:dyDescent="0.3">
      <c r="C22" s="61" t="s">
        <v>288</v>
      </c>
    </row>
    <row r="25" spans="1:3" ht="18" x14ac:dyDescent="0.35">
      <c r="A25" s="90" t="s">
        <v>317</v>
      </c>
    </row>
    <row r="26" spans="1:3" x14ac:dyDescent="0.3">
      <c r="C26" s="61" t="s">
        <v>289</v>
      </c>
    </row>
    <row r="27" spans="1:3" x14ac:dyDescent="0.3">
      <c r="C27" s="61" t="s">
        <v>290</v>
      </c>
    </row>
    <row r="28" spans="1:3" x14ac:dyDescent="0.3">
      <c r="C28" s="61" t="s">
        <v>291</v>
      </c>
    </row>
    <row r="29" spans="1:3" x14ac:dyDescent="0.3">
      <c r="C29" s="61" t="s">
        <v>292</v>
      </c>
    </row>
    <row r="30" spans="1:3" x14ac:dyDescent="0.3">
      <c r="C30" s="61" t="s">
        <v>293</v>
      </c>
    </row>
    <row r="31" spans="1:3" x14ac:dyDescent="0.3">
      <c r="C31" s="61" t="s">
        <v>294</v>
      </c>
    </row>
    <row r="32" spans="1:3" x14ac:dyDescent="0.3">
      <c r="C32" s="61" t="s">
        <v>295</v>
      </c>
    </row>
    <row r="33" spans="3:3" x14ac:dyDescent="0.3">
      <c r="C33" s="61" t="s">
        <v>296</v>
      </c>
    </row>
    <row r="34" spans="3:3" x14ac:dyDescent="0.3">
      <c r="C34" s="61" t="s">
        <v>297</v>
      </c>
    </row>
    <row r="35" spans="3:3" x14ac:dyDescent="0.3">
      <c r="C35" s="61" t="s">
        <v>298</v>
      </c>
    </row>
    <row r="36" spans="3:3" x14ac:dyDescent="0.3">
      <c r="C36" s="61" t="s">
        <v>299</v>
      </c>
    </row>
    <row r="37" spans="3:3" x14ac:dyDescent="0.3">
      <c r="C37" s="61" t="s">
        <v>300</v>
      </c>
    </row>
    <row r="38" spans="3:3" x14ac:dyDescent="0.3">
      <c r="C38" s="61" t="s">
        <v>292</v>
      </c>
    </row>
    <row r="39" spans="3:3" x14ac:dyDescent="0.3">
      <c r="C39" s="61" t="s">
        <v>293</v>
      </c>
    </row>
    <row r="40" spans="3:3" x14ac:dyDescent="0.3">
      <c r="C40" s="61" t="s">
        <v>301</v>
      </c>
    </row>
    <row r="41" spans="3:3" x14ac:dyDescent="0.3">
      <c r="C41" s="61" t="s">
        <v>300</v>
      </c>
    </row>
    <row r="42" spans="3:3" x14ac:dyDescent="0.3">
      <c r="C42" s="61" t="s">
        <v>292</v>
      </c>
    </row>
    <row r="43" spans="3:3" x14ac:dyDescent="0.3">
      <c r="C43" s="61" t="s">
        <v>293</v>
      </c>
    </row>
    <row r="44" spans="3:3" x14ac:dyDescent="0.3">
      <c r="C44" s="61" t="s">
        <v>302</v>
      </c>
    </row>
    <row r="45" spans="3:3" x14ac:dyDescent="0.3">
      <c r="C45" s="61" t="s">
        <v>303</v>
      </c>
    </row>
    <row r="46" spans="3:3" x14ac:dyDescent="0.3">
      <c r="C46" s="61" t="s">
        <v>304</v>
      </c>
    </row>
    <row r="47" spans="3:3" x14ac:dyDescent="0.3">
      <c r="C47" s="61" t="s">
        <v>305</v>
      </c>
    </row>
    <row r="48" spans="3:3" x14ac:dyDescent="0.3">
      <c r="C48" s="61" t="s">
        <v>306</v>
      </c>
    </row>
    <row r="49" spans="3:3" x14ac:dyDescent="0.3">
      <c r="C49" s="61" t="s">
        <v>320</v>
      </c>
    </row>
    <row r="50" spans="3:3" x14ac:dyDescent="0.3">
      <c r="C50" s="61" t="s">
        <v>307</v>
      </c>
    </row>
    <row r="51" spans="3:3" x14ac:dyDescent="0.3">
      <c r="C51" s="61" t="s">
        <v>308</v>
      </c>
    </row>
    <row r="52" spans="3:3" x14ac:dyDescent="0.3">
      <c r="C52" s="88" t="s">
        <v>319</v>
      </c>
    </row>
    <row r="53" spans="3:3" x14ac:dyDescent="0.3">
      <c r="C53" s="61" t="s">
        <v>293</v>
      </c>
    </row>
    <row r="54" spans="3:3" x14ac:dyDescent="0.3">
      <c r="C54" s="61" t="s">
        <v>310</v>
      </c>
    </row>
    <row r="55" spans="3:3" x14ac:dyDescent="0.3">
      <c r="C55" s="61" t="s">
        <v>311</v>
      </c>
    </row>
    <row r="56" spans="3:3" x14ac:dyDescent="0.3">
      <c r="C56" s="61" t="s">
        <v>312</v>
      </c>
    </row>
    <row r="57" spans="3:3" x14ac:dyDescent="0.3">
      <c r="C57" s="61" t="s">
        <v>303</v>
      </c>
    </row>
    <row r="58" spans="3:3" x14ac:dyDescent="0.3">
      <c r="C58" s="61" t="s">
        <v>313</v>
      </c>
    </row>
    <row r="59" spans="3:3" x14ac:dyDescent="0.3">
      <c r="C59" s="61" t="s">
        <v>305</v>
      </c>
    </row>
    <row r="60" spans="3:3" x14ac:dyDescent="0.3">
      <c r="C60" s="61" t="s">
        <v>306</v>
      </c>
    </row>
    <row r="61" spans="3:3" x14ac:dyDescent="0.3">
      <c r="C61" s="61" t="s">
        <v>321</v>
      </c>
    </row>
    <row r="62" spans="3:3" x14ac:dyDescent="0.3">
      <c r="C62" s="61" t="s">
        <v>307</v>
      </c>
    </row>
    <row r="63" spans="3:3" x14ac:dyDescent="0.3">
      <c r="C63" s="61" t="s">
        <v>308</v>
      </c>
    </row>
    <row r="64" spans="3:3" x14ac:dyDescent="0.3">
      <c r="C64" s="88" t="s">
        <v>309</v>
      </c>
    </row>
    <row r="65" spans="1:4" x14ac:dyDescent="0.3">
      <c r="C65" s="61" t="s">
        <v>293</v>
      </c>
    </row>
    <row r="66" spans="1:4" x14ac:dyDescent="0.3">
      <c r="C66" s="61" t="s">
        <v>315</v>
      </c>
    </row>
    <row r="67" spans="1:4" x14ac:dyDescent="0.3">
      <c r="C67" s="61" t="s">
        <v>316</v>
      </c>
    </row>
    <row r="68" spans="1:4" x14ac:dyDescent="0.3">
      <c r="C68" s="61" t="s">
        <v>314</v>
      </c>
    </row>
    <row r="70" spans="1:4" ht="18" x14ac:dyDescent="0.3">
      <c r="A70" s="136" t="s">
        <v>272</v>
      </c>
      <c r="B70" s="136"/>
      <c r="C70" s="136"/>
      <c r="D70" s="136"/>
    </row>
  </sheetData>
  <mergeCells count="1">
    <mergeCell ref="A70:D70"/>
  </mergeCells>
  <printOptions horizontalCentered="1" verticalCentered="1"/>
  <pageMargins left="0.7" right="0.7" top="0.75" bottom="0.75" header="0.3" footer="0.3"/>
  <pageSetup paperSize="9" scale="70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E9"/>
  <sheetViews>
    <sheetView view="pageBreakPreview" zoomScale="85" zoomScaleNormal="90" zoomScaleSheetLayoutView="85" workbookViewId="0">
      <selection sqref="A1:A2"/>
    </sheetView>
  </sheetViews>
  <sheetFormatPr defaultRowHeight="15" x14ac:dyDescent="0.25"/>
  <cols>
    <col min="1" max="1" width="17.109375" style="54" customWidth="1"/>
    <col min="2" max="2" width="8.5546875" style="54" customWidth="1"/>
    <col min="3" max="3" width="29.109375" style="54" bestFit="1" customWidth="1"/>
    <col min="4" max="4" width="18.88671875" style="54" bestFit="1" customWidth="1"/>
    <col min="5" max="5" width="31.44140625" style="54" bestFit="1" customWidth="1"/>
    <col min="6" max="6" width="10.88671875" style="60" bestFit="1" customWidth="1"/>
    <col min="7" max="177" width="9.109375" style="60"/>
    <col min="178" max="179" width="8" style="60" customWidth="1"/>
    <col min="180" max="180" width="7" style="60" customWidth="1"/>
    <col min="181" max="181" width="6.6640625" style="60" customWidth="1"/>
    <col min="182" max="182" width="13" style="60" customWidth="1"/>
    <col min="183" max="183" width="22.44140625" style="60" customWidth="1"/>
    <col min="184" max="185" width="9.109375" style="60"/>
    <col min="186" max="186" width="23.33203125" style="60" customWidth="1"/>
    <col min="187" max="187" width="20.33203125" style="60" customWidth="1"/>
    <col min="188" max="188" width="13" style="60" customWidth="1"/>
    <col min="189" max="189" width="13" style="60" bestFit="1" customWidth="1"/>
    <col min="190" max="256" width="9.109375" style="60"/>
    <col min="257" max="257" width="17.109375" style="60" customWidth="1"/>
    <col min="258" max="258" width="8.5546875" style="60" customWidth="1"/>
    <col min="259" max="259" width="29.109375" style="60" bestFit="1" customWidth="1"/>
    <col min="260" max="260" width="18.88671875" style="60" bestFit="1" customWidth="1"/>
    <col min="261" max="261" width="31.44140625" style="60" bestFit="1" customWidth="1"/>
    <col min="262" max="262" width="10.88671875" style="60" bestFit="1" customWidth="1"/>
    <col min="263" max="433" width="9.109375" style="60"/>
    <col min="434" max="435" width="8" style="60" customWidth="1"/>
    <col min="436" max="436" width="7" style="60" customWidth="1"/>
    <col min="437" max="437" width="6.6640625" style="60" customWidth="1"/>
    <col min="438" max="438" width="13" style="60" customWidth="1"/>
    <col min="439" max="439" width="22.44140625" style="60" customWidth="1"/>
    <col min="440" max="441" width="9.109375" style="60"/>
    <col min="442" max="442" width="23.33203125" style="60" customWidth="1"/>
    <col min="443" max="443" width="20.33203125" style="60" customWidth="1"/>
    <col min="444" max="444" width="13" style="60" customWidth="1"/>
    <col min="445" max="445" width="13" style="60" bestFit="1" customWidth="1"/>
    <col min="446" max="512" width="9.109375" style="60"/>
    <col min="513" max="513" width="17.109375" style="60" customWidth="1"/>
    <col min="514" max="514" width="8.5546875" style="60" customWidth="1"/>
    <col min="515" max="515" width="29.109375" style="60" bestFit="1" customWidth="1"/>
    <col min="516" max="516" width="18.88671875" style="60" bestFit="1" customWidth="1"/>
    <col min="517" max="517" width="31.44140625" style="60" bestFit="1" customWidth="1"/>
    <col min="518" max="518" width="10.88671875" style="60" bestFit="1" customWidth="1"/>
    <col min="519" max="689" width="9.109375" style="60"/>
    <col min="690" max="691" width="8" style="60" customWidth="1"/>
    <col min="692" max="692" width="7" style="60" customWidth="1"/>
    <col min="693" max="693" width="6.6640625" style="60" customWidth="1"/>
    <col min="694" max="694" width="13" style="60" customWidth="1"/>
    <col min="695" max="695" width="22.44140625" style="60" customWidth="1"/>
    <col min="696" max="697" width="9.109375" style="60"/>
    <col min="698" max="698" width="23.33203125" style="60" customWidth="1"/>
    <col min="699" max="699" width="20.33203125" style="60" customWidth="1"/>
    <col min="700" max="700" width="13" style="60" customWidth="1"/>
    <col min="701" max="701" width="13" style="60" bestFit="1" customWidth="1"/>
    <col min="702" max="768" width="9.109375" style="60"/>
    <col min="769" max="769" width="17.109375" style="60" customWidth="1"/>
    <col min="770" max="770" width="8.5546875" style="60" customWidth="1"/>
    <col min="771" max="771" width="29.109375" style="60" bestFit="1" customWidth="1"/>
    <col min="772" max="772" width="18.88671875" style="60" bestFit="1" customWidth="1"/>
    <col min="773" max="773" width="31.44140625" style="60" bestFit="1" customWidth="1"/>
    <col min="774" max="774" width="10.88671875" style="60" bestFit="1" customWidth="1"/>
    <col min="775" max="945" width="9.109375" style="60"/>
    <col min="946" max="947" width="8" style="60" customWidth="1"/>
    <col min="948" max="948" width="7" style="60" customWidth="1"/>
    <col min="949" max="949" width="6.6640625" style="60" customWidth="1"/>
    <col min="950" max="950" width="13" style="60" customWidth="1"/>
    <col min="951" max="951" width="22.44140625" style="60" customWidth="1"/>
    <col min="952" max="953" width="9.109375" style="60"/>
    <col min="954" max="954" width="23.33203125" style="60" customWidth="1"/>
    <col min="955" max="955" width="20.33203125" style="60" customWidth="1"/>
    <col min="956" max="956" width="13" style="60" customWidth="1"/>
    <col min="957" max="957" width="13" style="60" bestFit="1" customWidth="1"/>
    <col min="958" max="1024" width="9.109375" style="60"/>
    <col min="1025" max="1025" width="17.109375" style="60" customWidth="1"/>
    <col min="1026" max="1026" width="8.5546875" style="60" customWidth="1"/>
    <col min="1027" max="1027" width="29.109375" style="60" bestFit="1" customWidth="1"/>
    <col min="1028" max="1028" width="18.88671875" style="60" bestFit="1" customWidth="1"/>
    <col min="1029" max="1029" width="31.44140625" style="60" bestFit="1" customWidth="1"/>
    <col min="1030" max="1030" width="10.88671875" style="60" bestFit="1" customWidth="1"/>
    <col min="1031" max="1201" width="9.109375" style="60"/>
    <col min="1202" max="1203" width="8" style="60" customWidth="1"/>
    <col min="1204" max="1204" width="7" style="60" customWidth="1"/>
    <col min="1205" max="1205" width="6.6640625" style="60" customWidth="1"/>
    <col min="1206" max="1206" width="13" style="60" customWidth="1"/>
    <col min="1207" max="1207" width="22.44140625" style="60" customWidth="1"/>
    <col min="1208" max="1209" width="9.109375" style="60"/>
    <col min="1210" max="1210" width="23.33203125" style="60" customWidth="1"/>
    <col min="1211" max="1211" width="20.33203125" style="60" customWidth="1"/>
    <col min="1212" max="1212" width="13" style="60" customWidth="1"/>
    <col min="1213" max="1213" width="13" style="60" bestFit="1" customWidth="1"/>
    <col min="1214" max="1280" width="9.109375" style="60"/>
    <col min="1281" max="1281" width="17.109375" style="60" customWidth="1"/>
    <col min="1282" max="1282" width="8.5546875" style="60" customWidth="1"/>
    <col min="1283" max="1283" width="29.109375" style="60" bestFit="1" customWidth="1"/>
    <col min="1284" max="1284" width="18.88671875" style="60" bestFit="1" customWidth="1"/>
    <col min="1285" max="1285" width="31.44140625" style="60" bestFit="1" customWidth="1"/>
    <col min="1286" max="1286" width="10.88671875" style="60" bestFit="1" customWidth="1"/>
    <col min="1287" max="1457" width="9.109375" style="60"/>
    <col min="1458" max="1459" width="8" style="60" customWidth="1"/>
    <col min="1460" max="1460" width="7" style="60" customWidth="1"/>
    <col min="1461" max="1461" width="6.6640625" style="60" customWidth="1"/>
    <col min="1462" max="1462" width="13" style="60" customWidth="1"/>
    <col min="1463" max="1463" width="22.44140625" style="60" customWidth="1"/>
    <col min="1464" max="1465" width="9.109375" style="60"/>
    <col min="1466" max="1466" width="23.33203125" style="60" customWidth="1"/>
    <col min="1467" max="1467" width="20.33203125" style="60" customWidth="1"/>
    <col min="1468" max="1468" width="13" style="60" customWidth="1"/>
    <col min="1469" max="1469" width="13" style="60" bestFit="1" customWidth="1"/>
    <col min="1470" max="1536" width="9.109375" style="60"/>
    <col min="1537" max="1537" width="17.109375" style="60" customWidth="1"/>
    <col min="1538" max="1538" width="8.5546875" style="60" customWidth="1"/>
    <col min="1539" max="1539" width="29.109375" style="60" bestFit="1" customWidth="1"/>
    <col min="1540" max="1540" width="18.88671875" style="60" bestFit="1" customWidth="1"/>
    <col min="1541" max="1541" width="31.44140625" style="60" bestFit="1" customWidth="1"/>
    <col min="1542" max="1542" width="10.88671875" style="60" bestFit="1" customWidth="1"/>
    <col min="1543" max="1713" width="9.109375" style="60"/>
    <col min="1714" max="1715" width="8" style="60" customWidth="1"/>
    <col min="1716" max="1716" width="7" style="60" customWidth="1"/>
    <col min="1717" max="1717" width="6.6640625" style="60" customWidth="1"/>
    <col min="1718" max="1718" width="13" style="60" customWidth="1"/>
    <col min="1719" max="1719" width="22.44140625" style="60" customWidth="1"/>
    <col min="1720" max="1721" width="9.109375" style="60"/>
    <col min="1722" max="1722" width="23.33203125" style="60" customWidth="1"/>
    <col min="1723" max="1723" width="20.33203125" style="60" customWidth="1"/>
    <col min="1724" max="1724" width="13" style="60" customWidth="1"/>
    <col min="1725" max="1725" width="13" style="60" bestFit="1" customWidth="1"/>
    <col min="1726" max="1792" width="9.109375" style="60"/>
    <col min="1793" max="1793" width="17.109375" style="60" customWidth="1"/>
    <col min="1794" max="1794" width="8.5546875" style="60" customWidth="1"/>
    <col min="1795" max="1795" width="29.109375" style="60" bestFit="1" customWidth="1"/>
    <col min="1796" max="1796" width="18.88671875" style="60" bestFit="1" customWidth="1"/>
    <col min="1797" max="1797" width="31.44140625" style="60" bestFit="1" customWidth="1"/>
    <col min="1798" max="1798" width="10.88671875" style="60" bestFit="1" customWidth="1"/>
    <col min="1799" max="1969" width="9.109375" style="60"/>
    <col min="1970" max="1971" width="8" style="60" customWidth="1"/>
    <col min="1972" max="1972" width="7" style="60" customWidth="1"/>
    <col min="1973" max="1973" width="6.6640625" style="60" customWidth="1"/>
    <col min="1974" max="1974" width="13" style="60" customWidth="1"/>
    <col min="1975" max="1975" width="22.44140625" style="60" customWidth="1"/>
    <col min="1976" max="1977" width="9.109375" style="60"/>
    <col min="1978" max="1978" width="23.33203125" style="60" customWidth="1"/>
    <col min="1979" max="1979" width="20.33203125" style="60" customWidth="1"/>
    <col min="1980" max="1980" width="13" style="60" customWidth="1"/>
    <col min="1981" max="1981" width="13" style="60" bestFit="1" customWidth="1"/>
    <col min="1982" max="2048" width="9.109375" style="60"/>
    <col min="2049" max="2049" width="17.109375" style="60" customWidth="1"/>
    <col min="2050" max="2050" width="8.5546875" style="60" customWidth="1"/>
    <col min="2051" max="2051" width="29.109375" style="60" bestFit="1" customWidth="1"/>
    <col min="2052" max="2052" width="18.88671875" style="60" bestFit="1" customWidth="1"/>
    <col min="2053" max="2053" width="31.44140625" style="60" bestFit="1" customWidth="1"/>
    <col min="2054" max="2054" width="10.88671875" style="60" bestFit="1" customWidth="1"/>
    <col min="2055" max="2225" width="9.109375" style="60"/>
    <col min="2226" max="2227" width="8" style="60" customWidth="1"/>
    <col min="2228" max="2228" width="7" style="60" customWidth="1"/>
    <col min="2229" max="2229" width="6.6640625" style="60" customWidth="1"/>
    <col min="2230" max="2230" width="13" style="60" customWidth="1"/>
    <col min="2231" max="2231" width="22.44140625" style="60" customWidth="1"/>
    <col min="2232" max="2233" width="9.109375" style="60"/>
    <col min="2234" max="2234" width="23.33203125" style="60" customWidth="1"/>
    <col min="2235" max="2235" width="20.33203125" style="60" customWidth="1"/>
    <col min="2236" max="2236" width="13" style="60" customWidth="1"/>
    <col min="2237" max="2237" width="13" style="60" bestFit="1" customWidth="1"/>
    <col min="2238" max="2304" width="9.109375" style="60"/>
    <col min="2305" max="2305" width="17.109375" style="60" customWidth="1"/>
    <col min="2306" max="2306" width="8.5546875" style="60" customWidth="1"/>
    <col min="2307" max="2307" width="29.109375" style="60" bestFit="1" customWidth="1"/>
    <col min="2308" max="2308" width="18.88671875" style="60" bestFit="1" customWidth="1"/>
    <col min="2309" max="2309" width="31.44140625" style="60" bestFit="1" customWidth="1"/>
    <col min="2310" max="2310" width="10.88671875" style="60" bestFit="1" customWidth="1"/>
    <col min="2311" max="2481" width="9.109375" style="60"/>
    <col min="2482" max="2483" width="8" style="60" customWidth="1"/>
    <col min="2484" max="2484" width="7" style="60" customWidth="1"/>
    <col min="2485" max="2485" width="6.6640625" style="60" customWidth="1"/>
    <col min="2486" max="2486" width="13" style="60" customWidth="1"/>
    <col min="2487" max="2487" width="22.44140625" style="60" customWidth="1"/>
    <col min="2488" max="2489" width="9.109375" style="60"/>
    <col min="2490" max="2490" width="23.33203125" style="60" customWidth="1"/>
    <col min="2491" max="2491" width="20.33203125" style="60" customWidth="1"/>
    <col min="2492" max="2492" width="13" style="60" customWidth="1"/>
    <col min="2493" max="2493" width="13" style="60" bestFit="1" customWidth="1"/>
    <col min="2494" max="2560" width="9.109375" style="60"/>
    <col min="2561" max="2561" width="17.109375" style="60" customWidth="1"/>
    <col min="2562" max="2562" width="8.5546875" style="60" customWidth="1"/>
    <col min="2563" max="2563" width="29.109375" style="60" bestFit="1" customWidth="1"/>
    <col min="2564" max="2564" width="18.88671875" style="60" bestFit="1" customWidth="1"/>
    <col min="2565" max="2565" width="31.44140625" style="60" bestFit="1" customWidth="1"/>
    <col min="2566" max="2566" width="10.88671875" style="60" bestFit="1" customWidth="1"/>
    <col min="2567" max="2737" width="9.109375" style="60"/>
    <col min="2738" max="2739" width="8" style="60" customWidth="1"/>
    <col min="2740" max="2740" width="7" style="60" customWidth="1"/>
    <col min="2741" max="2741" width="6.6640625" style="60" customWidth="1"/>
    <col min="2742" max="2742" width="13" style="60" customWidth="1"/>
    <col min="2743" max="2743" width="22.44140625" style="60" customWidth="1"/>
    <col min="2744" max="2745" width="9.109375" style="60"/>
    <col min="2746" max="2746" width="23.33203125" style="60" customWidth="1"/>
    <col min="2747" max="2747" width="20.33203125" style="60" customWidth="1"/>
    <col min="2748" max="2748" width="13" style="60" customWidth="1"/>
    <col min="2749" max="2749" width="13" style="60" bestFit="1" customWidth="1"/>
    <col min="2750" max="2816" width="9.109375" style="60"/>
    <col min="2817" max="2817" width="17.109375" style="60" customWidth="1"/>
    <col min="2818" max="2818" width="8.5546875" style="60" customWidth="1"/>
    <col min="2819" max="2819" width="29.109375" style="60" bestFit="1" customWidth="1"/>
    <col min="2820" max="2820" width="18.88671875" style="60" bestFit="1" customWidth="1"/>
    <col min="2821" max="2821" width="31.44140625" style="60" bestFit="1" customWidth="1"/>
    <col min="2822" max="2822" width="10.88671875" style="60" bestFit="1" customWidth="1"/>
    <col min="2823" max="2993" width="9.109375" style="60"/>
    <col min="2994" max="2995" width="8" style="60" customWidth="1"/>
    <col min="2996" max="2996" width="7" style="60" customWidth="1"/>
    <col min="2997" max="2997" width="6.6640625" style="60" customWidth="1"/>
    <col min="2998" max="2998" width="13" style="60" customWidth="1"/>
    <col min="2999" max="2999" width="22.44140625" style="60" customWidth="1"/>
    <col min="3000" max="3001" width="9.109375" style="60"/>
    <col min="3002" max="3002" width="23.33203125" style="60" customWidth="1"/>
    <col min="3003" max="3003" width="20.33203125" style="60" customWidth="1"/>
    <col min="3004" max="3004" width="13" style="60" customWidth="1"/>
    <col min="3005" max="3005" width="13" style="60" bestFit="1" customWidth="1"/>
    <col min="3006" max="3072" width="9.109375" style="60"/>
    <col min="3073" max="3073" width="17.109375" style="60" customWidth="1"/>
    <col min="3074" max="3074" width="8.5546875" style="60" customWidth="1"/>
    <col min="3075" max="3075" width="29.109375" style="60" bestFit="1" customWidth="1"/>
    <col min="3076" max="3076" width="18.88671875" style="60" bestFit="1" customWidth="1"/>
    <col min="3077" max="3077" width="31.44140625" style="60" bestFit="1" customWidth="1"/>
    <col min="3078" max="3078" width="10.88671875" style="60" bestFit="1" customWidth="1"/>
    <col min="3079" max="3249" width="9.109375" style="60"/>
    <col min="3250" max="3251" width="8" style="60" customWidth="1"/>
    <col min="3252" max="3252" width="7" style="60" customWidth="1"/>
    <col min="3253" max="3253" width="6.6640625" style="60" customWidth="1"/>
    <col min="3254" max="3254" width="13" style="60" customWidth="1"/>
    <col min="3255" max="3255" width="22.44140625" style="60" customWidth="1"/>
    <col min="3256" max="3257" width="9.109375" style="60"/>
    <col min="3258" max="3258" width="23.33203125" style="60" customWidth="1"/>
    <col min="3259" max="3259" width="20.33203125" style="60" customWidth="1"/>
    <col min="3260" max="3260" width="13" style="60" customWidth="1"/>
    <col min="3261" max="3261" width="13" style="60" bestFit="1" customWidth="1"/>
    <col min="3262" max="3328" width="9.109375" style="60"/>
    <col min="3329" max="3329" width="17.109375" style="60" customWidth="1"/>
    <col min="3330" max="3330" width="8.5546875" style="60" customWidth="1"/>
    <col min="3331" max="3331" width="29.109375" style="60" bestFit="1" customWidth="1"/>
    <col min="3332" max="3332" width="18.88671875" style="60" bestFit="1" customWidth="1"/>
    <col min="3333" max="3333" width="31.44140625" style="60" bestFit="1" customWidth="1"/>
    <col min="3334" max="3334" width="10.88671875" style="60" bestFit="1" customWidth="1"/>
    <col min="3335" max="3505" width="9.109375" style="60"/>
    <col min="3506" max="3507" width="8" style="60" customWidth="1"/>
    <col min="3508" max="3508" width="7" style="60" customWidth="1"/>
    <col min="3509" max="3509" width="6.6640625" style="60" customWidth="1"/>
    <col min="3510" max="3510" width="13" style="60" customWidth="1"/>
    <col min="3511" max="3511" width="22.44140625" style="60" customWidth="1"/>
    <col min="3512" max="3513" width="9.109375" style="60"/>
    <col min="3514" max="3514" width="23.33203125" style="60" customWidth="1"/>
    <col min="3515" max="3515" width="20.33203125" style="60" customWidth="1"/>
    <col min="3516" max="3516" width="13" style="60" customWidth="1"/>
    <col min="3517" max="3517" width="13" style="60" bestFit="1" customWidth="1"/>
    <col min="3518" max="3584" width="9.109375" style="60"/>
    <col min="3585" max="3585" width="17.109375" style="60" customWidth="1"/>
    <col min="3586" max="3586" width="8.5546875" style="60" customWidth="1"/>
    <col min="3587" max="3587" width="29.109375" style="60" bestFit="1" customWidth="1"/>
    <col min="3588" max="3588" width="18.88671875" style="60" bestFit="1" customWidth="1"/>
    <col min="3589" max="3589" width="31.44140625" style="60" bestFit="1" customWidth="1"/>
    <col min="3590" max="3590" width="10.88671875" style="60" bestFit="1" customWidth="1"/>
    <col min="3591" max="3761" width="9.109375" style="60"/>
    <col min="3762" max="3763" width="8" style="60" customWidth="1"/>
    <col min="3764" max="3764" width="7" style="60" customWidth="1"/>
    <col min="3765" max="3765" width="6.6640625" style="60" customWidth="1"/>
    <col min="3766" max="3766" width="13" style="60" customWidth="1"/>
    <col min="3767" max="3767" width="22.44140625" style="60" customWidth="1"/>
    <col min="3768" max="3769" width="9.109375" style="60"/>
    <col min="3770" max="3770" width="23.33203125" style="60" customWidth="1"/>
    <col min="3771" max="3771" width="20.33203125" style="60" customWidth="1"/>
    <col min="3772" max="3772" width="13" style="60" customWidth="1"/>
    <col min="3773" max="3773" width="13" style="60" bestFit="1" customWidth="1"/>
    <col min="3774" max="3840" width="9.109375" style="60"/>
    <col min="3841" max="3841" width="17.109375" style="60" customWidth="1"/>
    <col min="3842" max="3842" width="8.5546875" style="60" customWidth="1"/>
    <col min="3843" max="3843" width="29.109375" style="60" bestFit="1" customWidth="1"/>
    <col min="3844" max="3844" width="18.88671875" style="60" bestFit="1" customWidth="1"/>
    <col min="3845" max="3845" width="31.44140625" style="60" bestFit="1" customWidth="1"/>
    <col min="3846" max="3846" width="10.88671875" style="60" bestFit="1" customWidth="1"/>
    <col min="3847" max="4017" width="9.109375" style="60"/>
    <col min="4018" max="4019" width="8" style="60" customWidth="1"/>
    <col min="4020" max="4020" width="7" style="60" customWidth="1"/>
    <col min="4021" max="4021" width="6.6640625" style="60" customWidth="1"/>
    <col min="4022" max="4022" width="13" style="60" customWidth="1"/>
    <col min="4023" max="4023" width="22.44140625" style="60" customWidth="1"/>
    <col min="4024" max="4025" width="9.109375" style="60"/>
    <col min="4026" max="4026" width="23.33203125" style="60" customWidth="1"/>
    <col min="4027" max="4027" width="20.33203125" style="60" customWidth="1"/>
    <col min="4028" max="4028" width="13" style="60" customWidth="1"/>
    <col min="4029" max="4029" width="13" style="60" bestFit="1" customWidth="1"/>
    <col min="4030" max="4096" width="9.109375" style="60"/>
    <col min="4097" max="4097" width="17.109375" style="60" customWidth="1"/>
    <col min="4098" max="4098" width="8.5546875" style="60" customWidth="1"/>
    <col min="4099" max="4099" width="29.109375" style="60" bestFit="1" customWidth="1"/>
    <col min="4100" max="4100" width="18.88671875" style="60" bestFit="1" customWidth="1"/>
    <col min="4101" max="4101" width="31.44140625" style="60" bestFit="1" customWidth="1"/>
    <col min="4102" max="4102" width="10.88671875" style="60" bestFit="1" customWidth="1"/>
    <col min="4103" max="4273" width="9.109375" style="60"/>
    <col min="4274" max="4275" width="8" style="60" customWidth="1"/>
    <col min="4276" max="4276" width="7" style="60" customWidth="1"/>
    <col min="4277" max="4277" width="6.6640625" style="60" customWidth="1"/>
    <col min="4278" max="4278" width="13" style="60" customWidth="1"/>
    <col min="4279" max="4279" width="22.44140625" style="60" customWidth="1"/>
    <col min="4280" max="4281" width="9.109375" style="60"/>
    <col min="4282" max="4282" width="23.33203125" style="60" customWidth="1"/>
    <col min="4283" max="4283" width="20.33203125" style="60" customWidth="1"/>
    <col min="4284" max="4284" width="13" style="60" customWidth="1"/>
    <col min="4285" max="4285" width="13" style="60" bestFit="1" customWidth="1"/>
    <col min="4286" max="4352" width="9.109375" style="60"/>
    <col min="4353" max="4353" width="17.109375" style="60" customWidth="1"/>
    <col min="4354" max="4354" width="8.5546875" style="60" customWidth="1"/>
    <col min="4355" max="4355" width="29.109375" style="60" bestFit="1" customWidth="1"/>
    <col min="4356" max="4356" width="18.88671875" style="60" bestFit="1" customWidth="1"/>
    <col min="4357" max="4357" width="31.44140625" style="60" bestFit="1" customWidth="1"/>
    <col min="4358" max="4358" width="10.88671875" style="60" bestFit="1" customWidth="1"/>
    <col min="4359" max="4529" width="9.109375" style="60"/>
    <col min="4530" max="4531" width="8" style="60" customWidth="1"/>
    <col min="4532" max="4532" width="7" style="60" customWidth="1"/>
    <col min="4533" max="4533" width="6.6640625" style="60" customWidth="1"/>
    <col min="4534" max="4534" width="13" style="60" customWidth="1"/>
    <col min="4535" max="4535" width="22.44140625" style="60" customWidth="1"/>
    <col min="4536" max="4537" width="9.109375" style="60"/>
    <col min="4538" max="4538" width="23.33203125" style="60" customWidth="1"/>
    <col min="4539" max="4539" width="20.33203125" style="60" customWidth="1"/>
    <col min="4540" max="4540" width="13" style="60" customWidth="1"/>
    <col min="4541" max="4541" width="13" style="60" bestFit="1" customWidth="1"/>
    <col min="4542" max="4608" width="9.109375" style="60"/>
    <col min="4609" max="4609" width="17.109375" style="60" customWidth="1"/>
    <col min="4610" max="4610" width="8.5546875" style="60" customWidth="1"/>
    <col min="4611" max="4611" width="29.109375" style="60" bestFit="1" customWidth="1"/>
    <col min="4612" max="4612" width="18.88671875" style="60" bestFit="1" customWidth="1"/>
    <col min="4613" max="4613" width="31.44140625" style="60" bestFit="1" customWidth="1"/>
    <col min="4614" max="4614" width="10.88671875" style="60" bestFit="1" customWidth="1"/>
    <col min="4615" max="4785" width="9.109375" style="60"/>
    <col min="4786" max="4787" width="8" style="60" customWidth="1"/>
    <col min="4788" max="4788" width="7" style="60" customWidth="1"/>
    <col min="4789" max="4789" width="6.6640625" style="60" customWidth="1"/>
    <col min="4790" max="4790" width="13" style="60" customWidth="1"/>
    <col min="4791" max="4791" width="22.44140625" style="60" customWidth="1"/>
    <col min="4792" max="4793" width="9.109375" style="60"/>
    <col min="4794" max="4794" width="23.33203125" style="60" customWidth="1"/>
    <col min="4795" max="4795" width="20.33203125" style="60" customWidth="1"/>
    <col min="4796" max="4796" width="13" style="60" customWidth="1"/>
    <col min="4797" max="4797" width="13" style="60" bestFit="1" customWidth="1"/>
    <col min="4798" max="4864" width="9.109375" style="60"/>
    <col min="4865" max="4865" width="17.109375" style="60" customWidth="1"/>
    <col min="4866" max="4866" width="8.5546875" style="60" customWidth="1"/>
    <col min="4867" max="4867" width="29.109375" style="60" bestFit="1" customWidth="1"/>
    <col min="4868" max="4868" width="18.88671875" style="60" bestFit="1" customWidth="1"/>
    <col min="4869" max="4869" width="31.44140625" style="60" bestFit="1" customWidth="1"/>
    <col min="4870" max="4870" width="10.88671875" style="60" bestFit="1" customWidth="1"/>
    <col min="4871" max="5041" width="9.109375" style="60"/>
    <col min="5042" max="5043" width="8" style="60" customWidth="1"/>
    <col min="5044" max="5044" width="7" style="60" customWidth="1"/>
    <col min="5045" max="5045" width="6.6640625" style="60" customWidth="1"/>
    <col min="5046" max="5046" width="13" style="60" customWidth="1"/>
    <col min="5047" max="5047" width="22.44140625" style="60" customWidth="1"/>
    <col min="5048" max="5049" width="9.109375" style="60"/>
    <col min="5050" max="5050" width="23.33203125" style="60" customWidth="1"/>
    <col min="5051" max="5051" width="20.33203125" style="60" customWidth="1"/>
    <col min="5052" max="5052" width="13" style="60" customWidth="1"/>
    <col min="5053" max="5053" width="13" style="60" bestFit="1" customWidth="1"/>
    <col min="5054" max="5120" width="9.109375" style="60"/>
    <col min="5121" max="5121" width="17.109375" style="60" customWidth="1"/>
    <col min="5122" max="5122" width="8.5546875" style="60" customWidth="1"/>
    <col min="5123" max="5123" width="29.109375" style="60" bestFit="1" customWidth="1"/>
    <col min="5124" max="5124" width="18.88671875" style="60" bestFit="1" customWidth="1"/>
    <col min="5125" max="5125" width="31.44140625" style="60" bestFit="1" customWidth="1"/>
    <col min="5126" max="5126" width="10.88671875" style="60" bestFit="1" customWidth="1"/>
    <col min="5127" max="5297" width="9.109375" style="60"/>
    <col min="5298" max="5299" width="8" style="60" customWidth="1"/>
    <col min="5300" max="5300" width="7" style="60" customWidth="1"/>
    <col min="5301" max="5301" width="6.6640625" style="60" customWidth="1"/>
    <col min="5302" max="5302" width="13" style="60" customWidth="1"/>
    <col min="5303" max="5303" width="22.44140625" style="60" customWidth="1"/>
    <col min="5304" max="5305" width="9.109375" style="60"/>
    <col min="5306" max="5306" width="23.33203125" style="60" customWidth="1"/>
    <col min="5307" max="5307" width="20.33203125" style="60" customWidth="1"/>
    <col min="5308" max="5308" width="13" style="60" customWidth="1"/>
    <col min="5309" max="5309" width="13" style="60" bestFit="1" customWidth="1"/>
    <col min="5310" max="5376" width="9.109375" style="60"/>
    <col min="5377" max="5377" width="17.109375" style="60" customWidth="1"/>
    <col min="5378" max="5378" width="8.5546875" style="60" customWidth="1"/>
    <col min="5379" max="5379" width="29.109375" style="60" bestFit="1" customWidth="1"/>
    <col min="5380" max="5380" width="18.88671875" style="60" bestFit="1" customWidth="1"/>
    <col min="5381" max="5381" width="31.44140625" style="60" bestFit="1" customWidth="1"/>
    <col min="5382" max="5382" width="10.88671875" style="60" bestFit="1" customWidth="1"/>
    <col min="5383" max="5553" width="9.109375" style="60"/>
    <col min="5554" max="5555" width="8" style="60" customWidth="1"/>
    <col min="5556" max="5556" width="7" style="60" customWidth="1"/>
    <col min="5557" max="5557" width="6.6640625" style="60" customWidth="1"/>
    <col min="5558" max="5558" width="13" style="60" customWidth="1"/>
    <col min="5559" max="5559" width="22.44140625" style="60" customWidth="1"/>
    <col min="5560" max="5561" width="9.109375" style="60"/>
    <col min="5562" max="5562" width="23.33203125" style="60" customWidth="1"/>
    <col min="5563" max="5563" width="20.33203125" style="60" customWidth="1"/>
    <col min="5564" max="5564" width="13" style="60" customWidth="1"/>
    <col min="5565" max="5565" width="13" style="60" bestFit="1" customWidth="1"/>
    <col min="5566" max="5632" width="9.109375" style="60"/>
    <col min="5633" max="5633" width="17.109375" style="60" customWidth="1"/>
    <col min="5634" max="5634" width="8.5546875" style="60" customWidth="1"/>
    <col min="5635" max="5635" width="29.109375" style="60" bestFit="1" customWidth="1"/>
    <col min="5636" max="5636" width="18.88671875" style="60" bestFit="1" customWidth="1"/>
    <col min="5637" max="5637" width="31.44140625" style="60" bestFit="1" customWidth="1"/>
    <col min="5638" max="5638" width="10.88671875" style="60" bestFit="1" customWidth="1"/>
    <col min="5639" max="5809" width="9.109375" style="60"/>
    <col min="5810" max="5811" width="8" style="60" customWidth="1"/>
    <col min="5812" max="5812" width="7" style="60" customWidth="1"/>
    <col min="5813" max="5813" width="6.6640625" style="60" customWidth="1"/>
    <col min="5814" max="5814" width="13" style="60" customWidth="1"/>
    <col min="5815" max="5815" width="22.44140625" style="60" customWidth="1"/>
    <col min="5816" max="5817" width="9.109375" style="60"/>
    <col min="5818" max="5818" width="23.33203125" style="60" customWidth="1"/>
    <col min="5819" max="5819" width="20.33203125" style="60" customWidth="1"/>
    <col min="5820" max="5820" width="13" style="60" customWidth="1"/>
    <col min="5821" max="5821" width="13" style="60" bestFit="1" customWidth="1"/>
    <col min="5822" max="5888" width="9.109375" style="60"/>
    <col min="5889" max="5889" width="17.109375" style="60" customWidth="1"/>
    <col min="5890" max="5890" width="8.5546875" style="60" customWidth="1"/>
    <col min="5891" max="5891" width="29.109375" style="60" bestFit="1" customWidth="1"/>
    <col min="5892" max="5892" width="18.88671875" style="60" bestFit="1" customWidth="1"/>
    <col min="5893" max="5893" width="31.44140625" style="60" bestFit="1" customWidth="1"/>
    <col min="5894" max="5894" width="10.88671875" style="60" bestFit="1" customWidth="1"/>
    <col min="5895" max="6065" width="9.109375" style="60"/>
    <col min="6066" max="6067" width="8" style="60" customWidth="1"/>
    <col min="6068" max="6068" width="7" style="60" customWidth="1"/>
    <col min="6069" max="6069" width="6.6640625" style="60" customWidth="1"/>
    <col min="6070" max="6070" width="13" style="60" customWidth="1"/>
    <col min="6071" max="6071" width="22.44140625" style="60" customWidth="1"/>
    <col min="6072" max="6073" width="9.109375" style="60"/>
    <col min="6074" max="6074" width="23.33203125" style="60" customWidth="1"/>
    <col min="6075" max="6075" width="20.33203125" style="60" customWidth="1"/>
    <col min="6076" max="6076" width="13" style="60" customWidth="1"/>
    <col min="6077" max="6077" width="13" style="60" bestFit="1" customWidth="1"/>
    <col min="6078" max="6144" width="9.109375" style="60"/>
    <col min="6145" max="6145" width="17.109375" style="60" customWidth="1"/>
    <col min="6146" max="6146" width="8.5546875" style="60" customWidth="1"/>
    <col min="6147" max="6147" width="29.109375" style="60" bestFit="1" customWidth="1"/>
    <col min="6148" max="6148" width="18.88671875" style="60" bestFit="1" customWidth="1"/>
    <col min="6149" max="6149" width="31.44140625" style="60" bestFit="1" customWidth="1"/>
    <col min="6150" max="6150" width="10.88671875" style="60" bestFit="1" customWidth="1"/>
    <col min="6151" max="6321" width="9.109375" style="60"/>
    <col min="6322" max="6323" width="8" style="60" customWidth="1"/>
    <col min="6324" max="6324" width="7" style="60" customWidth="1"/>
    <col min="6325" max="6325" width="6.6640625" style="60" customWidth="1"/>
    <col min="6326" max="6326" width="13" style="60" customWidth="1"/>
    <col min="6327" max="6327" width="22.44140625" style="60" customWidth="1"/>
    <col min="6328" max="6329" width="9.109375" style="60"/>
    <col min="6330" max="6330" width="23.33203125" style="60" customWidth="1"/>
    <col min="6331" max="6331" width="20.33203125" style="60" customWidth="1"/>
    <col min="6332" max="6332" width="13" style="60" customWidth="1"/>
    <col min="6333" max="6333" width="13" style="60" bestFit="1" customWidth="1"/>
    <col min="6334" max="6400" width="9.109375" style="60"/>
    <col min="6401" max="6401" width="17.109375" style="60" customWidth="1"/>
    <col min="6402" max="6402" width="8.5546875" style="60" customWidth="1"/>
    <col min="6403" max="6403" width="29.109375" style="60" bestFit="1" customWidth="1"/>
    <col min="6404" max="6404" width="18.88671875" style="60" bestFit="1" customWidth="1"/>
    <col min="6405" max="6405" width="31.44140625" style="60" bestFit="1" customWidth="1"/>
    <col min="6406" max="6406" width="10.88671875" style="60" bestFit="1" customWidth="1"/>
    <col min="6407" max="6577" width="9.109375" style="60"/>
    <col min="6578" max="6579" width="8" style="60" customWidth="1"/>
    <col min="6580" max="6580" width="7" style="60" customWidth="1"/>
    <col min="6581" max="6581" width="6.6640625" style="60" customWidth="1"/>
    <col min="6582" max="6582" width="13" style="60" customWidth="1"/>
    <col min="6583" max="6583" width="22.44140625" style="60" customWidth="1"/>
    <col min="6584" max="6585" width="9.109375" style="60"/>
    <col min="6586" max="6586" width="23.33203125" style="60" customWidth="1"/>
    <col min="6587" max="6587" width="20.33203125" style="60" customWidth="1"/>
    <col min="6588" max="6588" width="13" style="60" customWidth="1"/>
    <col min="6589" max="6589" width="13" style="60" bestFit="1" customWidth="1"/>
    <col min="6590" max="6656" width="9.109375" style="60"/>
    <col min="6657" max="6657" width="17.109375" style="60" customWidth="1"/>
    <col min="6658" max="6658" width="8.5546875" style="60" customWidth="1"/>
    <col min="6659" max="6659" width="29.109375" style="60" bestFit="1" customWidth="1"/>
    <col min="6660" max="6660" width="18.88671875" style="60" bestFit="1" customWidth="1"/>
    <col min="6661" max="6661" width="31.44140625" style="60" bestFit="1" customWidth="1"/>
    <col min="6662" max="6662" width="10.88671875" style="60" bestFit="1" customWidth="1"/>
    <col min="6663" max="6833" width="9.109375" style="60"/>
    <col min="6834" max="6835" width="8" style="60" customWidth="1"/>
    <col min="6836" max="6836" width="7" style="60" customWidth="1"/>
    <col min="6837" max="6837" width="6.6640625" style="60" customWidth="1"/>
    <col min="6838" max="6838" width="13" style="60" customWidth="1"/>
    <col min="6839" max="6839" width="22.44140625" style="60" customWidth="1"/>
    <col min="6840" max="6841" width="9.109375" style="60"/>
    <col min="6842" max="6842" width="23.33203125" style="60" customWidth="1"/>
    <col min="6843" max="6843" width="20.33203125" style="60" customWidth="1"/>
    <col min="6844" max="6844" width="13" style="60" customWidth="1"/>
    <col min="6845" max="6845" width="13" style="60" bestFit="1" customWidth="1"/>
    <col min="6846" max="6912" width="9.109375" style="60"/>
    <col min="6913" max="6913" width="17.109375" style="60" customWidth="1"/>
    <col min="6914" max="6914" width="8.5546875" style="60" customWidth="1"/>
    <col min="6915" max="6915" width="29.109375" style="60" bestFit="1" customWidth="1"/>
    <col min="6916" max="6916" width="18.88671875" style="60" bestFit="1" customWidth="1"/>
    <col min="6917" max="6917" width="31.44140625" style="60" bestFit="1" customWidth="1"/>
    <col min="6918" max="6918" width="10.88671875" style="60" bestFit="1" customWidth="1"/>
    <col min="6919" max="7089" width="9.109375" style="60"/>
    <col min="7090" max="7091" width="8" style="60" customWidth="1"/>
    <col min="7092" max="7092" width="7" style="60" customWidth="1"/>
    <col min="7093" max="7093" width="6.6640625" style="60" customWidth="1"/>
    <col min="7094" max="7094" width="13" style="60" customWidth="1"/>
    <col min="7095" max="7095" width="22.44140625" style="60" customWidth="1"/>
    <col min="7096" max="7097" width="9.109375" style="60"/>
    <col min="7098" max="7098" width="23.33203125" style="60" customWidth="1"/>
    <col min="7099" max="7099" width="20.33203125" style="60" customWidth="1"/>
    <col min="7100" max="7100" width="13" style="60" customWidth="1"/>
    <col min="7101" max="7101" width="13" style="60" bestFit="1" customWidth="1"/>
    <col min="7102" max="7168" width="9.109375" style="60"/>
    <col min="7169" max="7169" width="17.109375" style="60" customWidth="1"/>
    <col min="7170" max="7170" width="8.5546875" style="60" customWidth="1"/>
    <col min="7171" max="7171" width="29.109375" style="60" bestFit="1" customWidth="1"/>
    <col min="7172" max="7172" width="18.88671875" style="60" bestFit="1" customWidth="1"/>
    <col min="7173" max="7173" width="31.44140625" style="60" bestFit="1" customWidth="1"/>
    <col min="7174" max="7174" width="10.88671875" style="60" bestFit="1" customWidth="1"/>
    <col min="7175" max="7345" width="9.109375" style="60"/>
    <col min="7346" max="7347" width="8" style="60" customWidth="1"/>
    <col min="7348" max="7348" width="7" style="60" customWidth="1"/>
    <col min="7349" max="7349" width="6.6640625" style="60" customWidth="1"/>
    <col min="7350" max="7350" width="13" style="60" customWidth="1"/>
    <col min="7351" max="7351" width="22.44140625" style="60" customWidth="1"/>
    <col min="7352" max="7353" width="9.109375" style="60"/>
    <col min="7354" max="7354" width="23.33203125" style="60" customWidth="1"/>
    <col min="7355" max="7355" width="20.33203125" style="60" customWidth="1"/>
    <col min="7356" max="7356" width="13" style="60" customWidth="1"/>
    <col min="7357" max="7357" width="13" style="60" bestFit="1" customWidth="1"/>
    <col min="7358" max="7424" width="9.109375" style="60"/>
    <col min="7425" max="7425" width="17.109375" style="60" customWidth="1"/>
    <col min="7426" max="7426" width="8.5546875" style="60" customWidth="1"/>
    <col min="7427" max="7427" width="29.109375" style="60" bestFit="1" customWidth="1"/>
    <col min="7428" max="7428" width="18.88671875" style="60" bestFit="1" customWidth="1"/>
    <col min="7429" max="7429" width="31.44140625" style="60" bestFit="1" customWidth="1"/>
    <col min="7430" max="7430" width="10.88671875" style="60" bestFit="1" customWidth="1"/>
    <col min="7431" max="7601" width="9.109375" style="60"/>
    <col min="7602" max="7603" width="8" style="60" customWidth="1"/>
    <col min="7604" max="7604" width="7" style="60" customWidth="1"/>
    <col min="7605" max="7605" width="6.6640625" style="60" customWidth="1"/>
    <col min="7606" max="7606" width="13" style="60" customWidth="1"/>
    <col min="7607" max="7607" width="22.44140625" style="60" customWidth="1"/>
    <col min="7608" max="7609" width="9.109375" style="60"/>
    <col min="7610" max="7610" width="23.33203125" style="60" customWidth="1"/>
    <col min="7611" max="7611" width="20.33203125" style="60" customWidth="1"/>
    <col min="7612" max="7612" width="13" style="60" customWidth="1"/>
    <col min="7613" max="7613" width="13" style="60" bestFit="1" customWidth="1"/>
    <col min="7614" max="7680" width="9.109375" style="60"/>
    <col min="7681" max="7681" width="17.109375" style="60" customWidth="1"/>
    <col min="7682" max="7682" width="8.5546875" style="60" customWidth="1"/>
    <col min="7683" max="7683" width="29.109375" style="60" bestFit="1" customWidth="1"/>
    <col min="7684" max="7684" width="18.88671875" style="60" bestFit="1" customWidth="1"/>
    <col min="7685" max="7685" width="31.44140625" style="60" bestFit="1" customWidth="1"/>
    <col min="7686" max="7686" width="10.88671875" style="60" bestFit="1" customWidth="1"/>
    <col min="7687" max="7857" width="9.109375" style="60"/>
    <col min="7858" max="7859" width="8" style="60" customWidth="1"/>
    <col min="7860" max="7860" width="7" style="60" customWidth="1"/>
    <col min="7861" max="7861" width="6.6640625" style="60" customWidth="1"/>
    <col min="7862" max="7862" width="13" style="60" customWidth="1"/>
    <col min="7863" max="7863" width="22.44140625" style="60" customWidth="1"/>
    <col min="7864" max="7865" width="9.109375" style="60"/>
    <col min="7866" max="7866" width="23.33203125" style="60" customWidth="1"/>
    <col min="7867" max="7867" width="20.33203125" style="60" customWidth="1"/>
    <col min="7868" max="7868" width="13" style="60" customWidth="1"/>
    <col min="7869" max="7869" width="13" style="60" bestFit="1" customWidth="1"/>
    <col min="7870" max="7936" width="9.109375" style="60"/>
    <col min="7937" max="7937" width="17.109375" style="60" customWidth="1"/>
    <col min="7938" max="7938" width="8.5546875" style="60" customWidth="1"/>
    <col min="7939" max="7939" width="29.109375" style="60" bestFit="1" customWidth="1"/>
    <col min="7940" max="7940" width="18.88671875" style="60" bestFit="1" customWidth="1"/>
    <col min="7941" max="7941" width="31.44140625" style="60" bestFit="1" customWidth="1"/>
    <col min="7942" max="7942" width="10.88671875" style="60" bestFit="1" customWidth="1"/>
    <col min="7943" max="8113" width="9.109375" style="60"/>
    <col min="8114" max="8115" width="8" style="60" customWidth="1"/>
    <col min="8116" max="8116" width="7" style="60" customWidth="1"/>
    <col min="8117" max="8117" width="6.6640625" style="60" customWidth="1"/>
    <col min="8118" max="8118" width="13" style="60" customWidth="1"/>
    <col min="8119" max="8119" width="22.44140625" style="60" customWidth="1"/>
    <col min="8120" max="8121" width="9.109375" style="60"/>
    <col min="8122" max="8122" width="23.33203125" style="60" customWidth="1"/>
    <col min="8123" max="8123" width="20.33203125" style="60" customWidth="1"/>
    <col min="8124" max="8124" width="13" style="60" customWidth="1"/>
    <col min="8125" max="8125" width="13" style="60" bestFit="1" customWidth="1"/>
    <col min="8126" max="8192" width="9.109375" style="60"/>
    <col min="8193" max="8193" width="17.109375" style="60" customWidth="1"/>
    <col min="8194" max="8194" width="8.5546875" style="60" customWidth="1"/>
    <col min="8195" max="8195" width="29.109375" style="60" bestFit="1" customWidth="1"/>
    <col min="8196" max="8196" width="18.88671875" style="60" bestFit="1" customWidth="1"/>
    <col min="8197" max="8197" width="31.44140625" style="60" bestFit="1" customWidth="1"/>
    <col min="8198" max="8198" width="10.88671875" style="60" bestFit="1" customWidth="1"/>
    <col min="8199" max="8369" width="9.109375" style="60"/>
    <col min="8370" max="8371" width="8" style="60" customWidth="1"/>
    <col min="8372" max="8372" width="7" style="60" customWidth="1"/>
    <col min="8373" max="8373" width="6.6640625" style="60" customWidth="1"/>
    <col min="8374" max="8374" width="13" style="60" customWidth="1"/>
    <col min="8375" max="8375" width="22.44140625" style="60" customWidth="1"/>
    <col min="8376" max="8377" width="9.109375" style="60"/>
    <col min="8378" max="8378" width="23.33203125" style="60" customWidth="1"/>
    <col min="8379" max="8379" width="20.33203125" style="60" customWidth="1"/>
    <col min="8380" max="8380" width="13" style="60" customWidth="1"/>
    <col min="8381" max="8381" width="13" style="60" bestFit="1" customWidth="1"/>
    <col min="8382" max="8448" width="9.109375" style="60"/>
    <col min="8449" max="8449" width="17.109375" style="60" customWidth="1"/>
    <col min="8450" max="8450" width="8.5546875" style="60" customWidth="1"/>
    <col min="8451" max="8451" width="29.109375" style="60" bestFit="1" customWidth="1"/>
    <col min="8452" max="8452" width="18.88671875" style="60" bestFit="1" customWidth="1"/>
    <col min="8453" max="8453" width="31.44140625" style="60" bestFit="1" customWidth="1"/>
    <col min="8454" max="8454" width="10.88671875" style="60" bestFit="1" customWidth="1"/>
    <col min="8455" max="8625" width="9.109375" style="60"/>
    <col min="8626" max="8627" width="8" style="60" customWidth="1"/>
    <col min="8628" max="8628" width="7" style="60" customWidth="1"/>
    <col min="8629" max="8629" width="6.6640625" style="60" customWidth="1"/>
    <col min="8630" max="8630" width="13" style="60" customWidth="1"/>
    <col min="8631" max="8631" width="22.44140625" style="60" customWidth="1"/>
    <col min="8632" max="8633" width="9.109375" style="60"/>
    <col min="8634" max="8634" width="23.33203125" style="60" customWidth="1"/>
    <col min="8635" max="8635" width="20.33203125" style="60" customWidth="1"/>
    <col min="8636" max="8636" width="13" style="60" customWidth="1"/>
    <col min="8637" max="8637" width="13" style="60" bestFit="1" customWidth="1"/>
    <col min="8638" max="8704" width="9.109375" style="60"/>
    <col min="8705" max="8705" width="17.109375" style="60" customWidth="1"/>
    <col min="8706" max="8706" width="8.5546875" style="60" customWidth="1"/>
    <col min="8707" max="8707" width="29.109375" style="60" bestFit="1" customWidth="1"/>
    <col min="8708" max="8708" width="18.88671875" style="60" bestFit="1" customWidth="1"/>
    <col min="8709" max="8709" width="31.44140625" style="60" bestFit="1" customWidth="1"/>
    <col min="8710" max="8710" width="10.88671875" style="60" bestFit="1" customWidth="1"/>
    <col min="8711" max="8881" width="9.109375" style="60"/>
    <col min="8882" max="8883" width="8" style="60" customWidth="1"/>
    <col min="8884" max="8884" width="7" style="60" customWidth="1"/>
    <col min="8885" max="8885" width="6.6640625" style="60" customWidth="1"/>
    <col min="8886" max="8886" width="13" style="60" customWidth="1"/>
    <col min="8887" max="8887" width="22.44140625" style="60" customWidth="1"/>
    <col min="8888" max="8889" width="9.109375" style="60"/>
    <col min="8890" max="8890" width="23.33203125" style="60" customWidth="1"/>
    <col min="8891" max="8891" width="20.33203125" style="60" customWidth="1"/>
    <col min="8892" max="8892" width="13" style="60" customWidth="1"/>
    <col min="8893" max="8893" width="13" style="60" bestFit="1" customWidth="1"/>
    <col min="8894" max="8960" width="9.109375" style="60"/>
    <col min="8961" max="8961" width="17.109375" style="60" customWidth="1"/>
    <col min="8962" max="8962" width="8.5546875" style="60" customWidth="1"/>
    <col min="8963" max="8963" width="29.109375" style="60" bestFit="1" customWidth="1"/>
    <col min="8964" max="8964" width="18.88671875" style="60" bestFit="1" customWidth="1"/>
    <col min="8965" max="8965" width="31.44140625" style="60" bestFit="1" customWidth="1"/>
    <col min="8966" max="8966" width="10.88671875" style="60" bestFit="1" customWidth="1"/>
    <col min="8967" max="9137" width="9.109375" style="60"/>
    <col min="9138" max="9139" width="8" style="60" customWidth="1"/>
    <col min="9140" max="9140" width="7" style="60" customWidth="1"/>
    <col min="9141" max="9141" width="6.6640625" style="60" customWidth="1"/>
    <col min="9142" max="9142" width="13" style="60" customWidth="1"/>
    <col min="9143" max="9143" width="22.44140625" style="60" customWidth="1"/>
    <col min="9144" max="9145" width="9.109375" style="60"/>
    <col min="9146" max="9146" width="23.33203125" style="60" customWidth="1"/>
    <col min="9147" max="9147" width="20.33203125" style="60" customWidth="1"/>
    <col min="9148" max="9148" width="13" style="60" customWidth="1"/>
    <col min="9149" max="9149" width="13" style="60" bestFit="1" customWidth="1"/>
    <col min="9150" max="9216" width="9.109375" style="60"/>
    <col min="9217" max="9217" width="17.109375" style="60" customWidth="1"/>
    <col min="9218" max="9218" width="8.5546875" style="60" customWidth="1"/>
    <col min="9219" max="9219" width="29.109375" style="60" bestFit="1" customWidth="1"/>
    <col min="9220" max="9220" width="18.88671875" style="60" bestFit="1" customWidth="1"/>
    <col min="9221" max="9221" width="31.44140625" style="60" bestFit="1" customWidth="1"/>
    <col min="9222" max="9222" width="10.88671875" style="60" bestFit="1" customWidth="1"/>
    <col min="9223" max="9393" width="9.109375" style="60"/>
    <col min="9394" max="9395" width="8" style="60" customWidth="1"/>
    <col min="9396" max="9396" width="7" style="60" customWidth="1"/>
    <col min="9397" max="9397" width="6.6640625" style="60" customWidth="1"/>
    <col min="9398" max="9398" width="13" style="60" customWidth="1"/>
    <col min="9399" max="9399" width="22.44140625" style="60" customWidth="1"/>
    <col min="9400" max="9401" width="9.109375" style="60"/>
    <col min="9402" max="9402" width="23.33203125" style="60" customWidth="1"/>
    <col min="9403" max="9403" width="20.33203125" style="60" customWidth="1"/>
    <col min="9404" max="9404" width="13" style="60" customWidth="1"/>
    <col min="9405" max="9405" width="13" style="60" bestFit="1" customWidth="1"/>
    <col min="9406" max="9472" width="9.109375" style="60"/>
    <col min="9473" max="9473" width="17.109375" style="60" customWidth="1"/>
    <col min="9474" max="9474" width="8.5546875" style="60" customWidth="1"/>
    <col min="9475" max="9475" width="29.109375" style="60" bestFit="1" customWidth="1"/>
    <col min="9476" max="9476" width="18.88671875" style="60" bestFit="1" customWidth="1"/>
    <col min="9477" max="9477" width="31.44140625" style="60" bestFit="1" customWidth="1"/>
    <col min="9478" max="9478" width="10.88671875" style="60" bestFit="1" customWidth="1"/>
    <col min="9479" max="9649" width="9.109375" style="60"/>
    <col min="9650" max="9651" width="8" style="60" customWidth="1"/>
    <col min="9652" max="9652" width="7" style="60" customWidth="1"/>
    <col min="9653" max="9653" width="6.6640625" style="60" customWidth="1"/>
    <col min="9654" max="9654" width="13" style="60" customWidth="1"/>
    <col min="9655" max="9655" width="22.44140625" style="60" customWidth="1"/>
    <col min="9656" max="9657" width="9.109375" style="60"/>
    <col min="9658" max="9658" width="23.33203125" style="60" customWidth="1"/>
    <col min="9659" max="9659" width="20.33203125" style="60" customWidth="1"/>
    <col min="9660" max="9660" width="13" style="60" customWidth="1"/>
    <col min="9661" max="9661" width="13" style="60" bestFit="1" customWidth="1"/>
    <col min="9662" max="9728" width="9.109375" style="60"/>
    <col min="9729" max="9729" width="17.109375" style="60" customWidth="1"/>
    <col min="9730" max="9730" width="8.5546875" style="60" customWidth="1"/>
    <col min="9731" max="9731" width="29.109375" style="60" bestFit="1" customWidth="1"/>
    <col min="9732" max="9732" width="18.88671875" style="60" bestFit="1" customWidth="1"/>
    <col min="9733" max="9733" width="31.44140625" style="60" bestFit="1" customWidth="1"/>
    <col min="9734" max="9734" width="10.88671875" style="60" bestFit="1" customWidth="1"/>
    <col min="9735" max="9905" width="9.109375" style="60"/>
    <col min="9906" max="9907" width="8" style="60" customWidth="1"/>
    <col min="9908" max="9908" width="7" style="60" customWidth="1"/>
    <col min="9909" max="9909" width="6.6640625" style="60" customWidth="1"/>
    <col min="9910" max="9910" width="13" style="60" customWidth="1"/>
    <col min="9911" max="9911" width="22.44140625" style="60" customWidth="1"/>
    <col min="9912" max="9913" width="9.109375" style="60"/>
    <col min="9914" max="9914" width="23.33203125" style="60" customWidth="1"/>
    <col min="9915" max="9915" width="20.33203125" style="60" customWidth="1"/>
    <col min="9916" max="9916" width="13" style="60" customWidth="1"/>
    <col min="9917" max="9917" width="13" style="60" bestFit="1" customWidth="1"/>
    <col min="9918" max="9984" width="9.109375" style="60"/>
    <col min="9985" max="9985" width="17.109375" style="60" customWidth="1"/>
    <col min="9986" max="9986" width="8.5546875" style="60" customWidth="1"/>
    <col min="9987" max="9987" width="29.109375" style="60" bestFit="1" customWidth="1"/>
    <col min="9988" max="9988" width="18.88671875" style="60" bestFit="1" customWidth="1"/>
    <col min="9989" max="9989" width="31.44140625" style="60" bestFit="1" customWidth="1"/>
    <col min="9990" max="9990" width="10.88671875" style="60" bestFit="1" customWidth="1"/>
    <col min="9991" max="10161" width="9.109375" style="60"/>
    <col min="10162" max="10163" width="8" style="60" customWidth="1"/>
    <col min="10164" max="10164" width="7" style="60" customWidth="1"/>
    <col min="10165" max="10165" width="6.6640625" style="60" customWidth="1"/>
    <col min="10166" max="10166" width="13" style="60" customWidth="1"/>
    <col min="10167" max="10167" width="22.44140625" style="60" customWidth="1"/>
    <col min="10168" max="10169" width="9.109375" style="60"/>
    <col min="10170" max="10170" width="23.33203125" style="60" customWidth="1"/>
    <col min="10171" max="10171" width="20.33203125" style="60" customWidth="1"/>
    <col min="10172" max="10172" width="13" style="60" customWidth="1"/>
    <col min="10173" max="10173" width="13" style="60" bestFit="1" customWidth="1"/>
    <col min="10174" max="10240" width="9.109375" style="60"/>
    <col min="10241" max="10241" width="17.109375" style="60" customWidth="1"/>
    <col min="10242" max="10242" width="8.5546875" style="60" customWidth="1"/>
    <col min="10243" max="10243" width="29.109375" style="60" bestFit="1" customWidth="1"/>
    <col min="10244" max="10244" width="18.88671875" style="60" bestFit="1" customWidth="1"/>
    <col min="10245" max="10245" width="31.44140625" style="60" bestFit="1" customWidth="1"/>
    <col min="10246" max="10246" width="10.88671875" style="60" bestFit="1" customWidth="1"/>
    <col min="10247" max="10417" width="9.109375" style="60"/>
    <col min="10418" max="10419" width="8" style="60" customWidth="1"/>
    <col min="10420" max="10420" width="7" style="60" customWidth="1"/>
    <col min="10421" max="10421" width="6.6640625" style="60" customWidth="1"/>
    <col min="10422" max="10422" width="13" style="60" customWidth="1"/>
    <col min="10423" max="10423" width="22.44140625" style="60" customWidth="1"/>
    <col min="10424" max="10425" width="9.109375" style="60"/>
    <col min="10426" max="10426" width="23.33203125" style="60" customWidth="1"/>
    <col min="10427" max="10427" width="20.33203125" style="60" customWidth="1"/>
    <col min="10428" max="10428" width="13" style="60" customWidth="1"/>
    <col min="10429" max="10429" width="13" style="60" bestFit="1" customWidth="1"/>
    <col min="10430" max="10496" width="9.109375" style="60"/>
    <col min="10497" max="10497" width="17.109375" style="60" customWidth="1"/>
    <col min="10498" max="10498" width="8.5546875" style="60" customWidth="1"/>
    <col min="10499" max="10499" width="29.109375" style="60" bestFit="1" customWidth="1"/>
    <col min="10500" max="10500" width="18.88671875" style="60" bestFit="1" customWidth="1"/>
    <col min="10501" max="10501" width="31.44140625" style="60" bestFit="1" customWidth="1"/>
    <col min="10502" max="10502" width="10.88671875" style="60" bestFit="1" customWidth="1"/>
    <col min="10503" max="10673" width="9.109375" style="60"/>
    <col min="10674" max="10675" width="8" style="60" customWidth="1"/>
    <col min="10676" max="10676" width="7" style="60" customWidth="1"/>
    <col min="10677" max="10677" width="6.6640625" style="60" customWidth="1"/>
    <col min="10678" max="10678" width="13" style="60" customWidth="1"/>
    <col min="10679" max="10679" width="22.44140625" style="60" customWidth="1"/>
    <col min="10680" max="10681" width="9.109375" style="60"/>
    <col min="10682" max="10682" width="23.33203125" style="60" customWidth="1"/>
    <col min="10683" max="10683" width="20.33203125" style="60" customWidth="1"/>
    <col min="10684" max="10684" width="13" style="60" customWidth="1"/>
    <col min="10685" max="10685" width="13" style="60" bestFit="1" customWidth="1"/>
    <col min="10686" max="10752" width="9.109375" style="60"/>
    <col min="10753" max="10753" width="17.109375" style="60" customWidth="1"/>
    <col min="10754" max="10754" width="8.5546875" style="60" customWidth="1"/>
    <col min="10755" max="10755" width="29.109375" style="60" bestFit="1" customWidth="1"/>
    <col min="10756" max="10756" width="18.88671875" style="60" bestFit="1" customWidth="1"/>
    <col min="10757" max="10757" width="31.44140625" style="60" bestFit="1" customWidth="1"/>
    <col min="10758" max="10758" width="10.88671875" style="60" bestFit="1" customWidth="1"/>
    <col min="10759" max="10929" width="9.109375" style="60"/>
    <col min="10930" max="10931" width="8" style="60" customWidth="1"/>
    <col min="10932" max="10932" width="7" style="60" customWidth="1"/>
    <col min="10933" max="10933" width="6.6640625" style="60" customWidth="1"/>
    <col min="10934" max="10934" width="13" style="60" customWidth="1"/>
    <col min="10935" max="10935" width="22.44140625" style="60" customWidth="1"/>
    <col min="10936" max="10937" width="9.109375" style="60"/>
    <col min="10938" max="10938" width="23.33203125" style="60" customWidth="1"/>
    <col min="10939" max="10939" width="20.33203125" style="60" customWidth="1"/>
    <col min="10940" max="10940" width="13" style="60" customWidth="1"/>
    <col min="10941" max="10941" width="13" style="60" bestFit="1" customWidth="1"/>
    <col min="10942" max="11008" width="9.109375" style="60"/>
    <col min="11009" max="11009" width="17.109375" style="60" customWidth="1"/>
    <col min="11010" max="11010" width="8.5546875" style="60" customWidth="1"/>
    <col min="11011" max="11011" width="29.109375" style="60" bestFit="1" customWidth="1"/>
    <col min="11012" max="11012" width="18.88671875" style="60" bestFit="1" customWidth="1"/>
    <col min="11013" max="11013" width="31.44140625" style="60" bestFit="1" customWidth="1"/>
    <col min="11014" max="11014" width="10.88671875" style="60" bestFit="1" customWidth="1"/>
    <col min="11015" max="11185" width="9.109375" style="60"/>
    <col min="11186" max="11187" width="8" style="60" customWidth="1"/>
    <col min="11188" max="11188" width="7" style="60" customWidth="1"/>
    <col min="11189" max="11189" width="6.6640625" style="60" customWidth="1"/>
    <col min="11190" max="11190" width="13" style="60" customWidth="1"/>
    <col min="11191" max="11191" width="22.44140625" style="60" customWidth="1"/>
    <col min="11192" max="11193" width="9.109375" style="60"/>
    <col min="11194" max="11194" width="23.33203125" style="60" customWidth="1"/>
    <col min="11195" max="11195" width="20.33203125" style="60" customWidth="1"/>
    <col min="11196" max="11196" width="13" style="60" customWidth="1"/>
    <col min="11197" max="11197" width="13" style="60" bestFit="1" customWidth="1"/>
    <col min="11198" max="11264" width="9.109375" style="60"/>
    <col min="11265" max="11265" width="17.109375" style="60" customWidth="1"/>
    <col min="11266" max="11266" width="8.5546875" style="60" customWidth="1"/>
    <col min="11267" max="11267" width="29.109375" style="60" bestFit="1" customWidth="1"/>
    <col min="11268" max="11268" width="18.88671875" style="60" bestFit="1" customWidth="1"/>
    <col min="11269" max="11269" width="31.44140625" style="60" bestFit="1" customWidth="1"/>
    <col min="11270" max="11270" width="10.88671875" style="60" bestFit="1" customWidth="1"/>
    <col min="11271" max="11441" width="9.109375" style="60"/>
    <col min="11442" max="11443" width="8" style="60" customWidth="1"/>
    <col min="11444" max="11444" width="7" style="60" customWidth="1"/>
    <col min="11445" max="11445" width="6.6640625" style="60" customWidth="1"/>
    <col min="11446" max="11446" width="13" style="60" customWidth="1"/>
    <col min="11447" max="11447" width="22.44140625" style="60" customWidth="1"/>
    <col min="11448" max="11449" width="9.109375" style="60"/>
    <col min="11450" max="11450" width="23.33203125" style="60" customWidth="1"/>
    <col min="11451" max="11451" width="20.33203125" style="60" customWidth="1"/>
    <col min="11452" max="11452" width="13" style="60" customWidth="1"/>
    <col min="11453" max="11453" width="13" style="60" bestFit="1" customWidth="1"/>
    <col min="11454" max="11520" width="9.109375" style="60"/>
    <col min="11521" max="11521" width="17.109375" style="60" customWidth="1"/>
    <col min="11522" max="11522" width="8.5546875" style="60" customWidth="1"/>
    <col min="11523" max="11523" width="29.109375" style="60" bestFit="1" customWidth="1"/>
    <col min="11524" max="11524" width="18.88671875" style="60" bestFit="1" customWidth="1"/>
    <col min="11525" max="11525" width="31.44140625" style="60" bestFit="1" customWidth="1"/>
    <col min="11526" max="11526" width="10.88671875" style="60" bestFit="1" customWidth="1"/>
    <col min="11527" max="11697" width="9.109375" style="60"/>
    <col min="11698" max="11699" width="8" style="60" customWidth="1"/>
    <col min="11700" max="11700" width="7" style="60" customWidth="1"/>
    <col min="11701" max="11701" width="6.6640625" style="60" customWidth="1"/>
    <col min="11702" max="11702" width="13" style="60" customWidth="1"/>
    <col min="11703" max="11703" width="22.44140625" style="60" customWidth="1"/>
    <col min="11704" max="11705" width="9.109375" style="60"/>
    <col min="11706" max="11706" width="23.33203125" style="60" customWidth="1"/>
    <col min="11707" max="11707" width="20.33203125" style="60" customWidth="1"/>
    <col min="11708" max="11708" width="13" style="60" customWidth="1"/>
    <col min="11709" max="11709" width="13" style="60" bestFit="1" customWidth="1"/>
    <col min="11710" max="11776" width="9.109375" style="60"/>
    <col min="11777" max="11777" width="17.109375" style="60" customWidth="1"/>
    <col min="11778" max="11778" width="8.5546875" style="60" customWidth="1"/>
    <col min="11779" max="11779" width="29.109375" style="60" bestFit="1" customWidth="1"/>
    <col min="11780" max="11780" width="18.88671875" style="60" bestFit="1" customWidth="1"/>
    <col min="11781" max="11781" width="31.44140625" style="60" bestFit="1" customWidth="1"/>
    <col min="11782" max="11782" width="10.88671875" style="60" bestFit="1" customWidth="1"/>
    <col min="11783" max="11953" width="9.109375" style="60"/>
    <col min="11954" max="11955" width="8" style="60" customWidth="1"/>
    <col min="11956" max="11956" width="7" style="60" customWidth="1"/>
    <col min="11957" max="11957" width="6.6640625" style="60" customWidth="1"/>
    <col min="11958" max="11958" width="13" style="60" customWidth="1"/>
    <col min="11959" max="11959" width="22.44140625" style="60" customWidth="1"/>
    <col min="11960" max="11961" width="9.109375" style="60"/>
    <col min="11962" max="11962" width="23.33203125" style="60" customWidth="1"/>
    <col min="11963" max="11963" width="20.33203125" style="60" customWidth="1"/>
    <col min="11964" max="11964" width="13" style="60" customWidth="1"/>
    <col min="11965" max="11965" width="13" style="60" bestFit="1" customWidth="1"/>
    <col min="11966" max="12032" width="9.109375" style="60"/>
    <col min="12033" max="12033" width="17.109375" style="60" customWidth="1"/>
    <col min="12034" max="12034" width="8.5546875" style="60" customWidth="1"/>
    <col min="12035" max="12035" width="29.109375" style="60" bestFit="1" customWidth="1"/>
    <col min="12036" max="12036" width="18.88671875" style="60" bestFit="1" customWidth="1"/>
    <col min="12037" max="12037" width="31.44140625" style="60" bestFit="1" customWidth="1"/>
    <col min="12038" max="12038" width="10.88671875" style="60" bestFit="1" customWidth="1"/>
    <col min="12039" max="12209" width="9.109375" style="60"/>
    <col min="12210" max="12211" width="8" style="60" customWidth="1"/>
    <col min="12212" max="12212" width="7" style="60" customWidth="1"/>
    <col min="12213" max="12213" width="6.6640625" style="60" customWidth="1"/>
    <col min="12214" max="12214" width="13" style="60" customWidth="1"/>
    <col min="12215" max="12215" width="22.44140625" style="60" customWidth="1"/>
    <col min="12216" max="12217" width="9.109375" style="60"/>
    <col min="12218" max="12218" width="23.33203125" style="60" customWidth="1"/>
    <col min="12219" max="12219" width="20.33203125" style="60" customWidth="1"/>
    <col min="12220" max="12220" width="13" style="60" customWidth="1"/>
    <col min="12221" max="12221" width="13" style="60" bestFit="1" customWidth="1"/>
    <col min="12222" max="12288" width="9.109375" style="60"/>
    <col min="12289" max="12289" width="17.109375" style="60" customWidth="1"/>
    <col min="12290" max="12290" width="8.5546875" style="60" customWidth="1"/>
    <col min="12291" max="12291" width="29.109375" style="60" bestFit="1" customWidth="1"/>
    <col min="12292" max="12292" width="18.88671875" style="60" bestFit="1" customWidth="1"/>
    <col min="12293" max="12293" width="31.44140625" style="60" bestFit="1" customWidth="1"/>
    <col min="12294" max="12294" width="10.88671875" style="60" bestFit="1" customWidth="1"/>
    <col min="12295" max="12465" width="9.109375" style="60"/>
    <col min="12466" max="12467" width="8" style="60" customWidth="1"/>
    <col min="12468" max="12468" width="7" style="60" customWidth="1"/>
    <col min="12469" max="12469" width="6.6640625" style="60" customWidth="1"/>
    <col min="12470" max="12470" width="13" style="60" customWidth="1"/>
    <col min="12471" max="12471" width="22.44140625" style="60" customWidth="1"/>
    <col min="12472" max="12473" width="9.109375" style="60"/>
    <col min="12474" max="12474" width="23.33203125" style="60" customWidth="1"/>
    <col min="12475" max="12475" width="20.33203125" style="60" customWidth="1"/>
    <col min="12476" max="12476" width="13" style="60" customWidth="1"/>
    <col min="12477" max="12477" width="13" style="60" bestFit="1" customWidth="1"/>
    <col min="12478" max="12544" width="9.109375" style="60"/>
    <col min="12545" max="12545" width="17.109375" style="60" customWidth="1"/>
    <col min="12546" max="12546" width="8.5546875" style="60" customWidth="1"/>
    <col min="12547" max="12547" width="29.109375" style="60" bestFit="1" customWidth="1"/>
    <col min="12548" max="12548" width="18.88671875" style="60" bestFit="1" customWidth="1"/>
    <col min="12549" max="12549" width="31.44140625" style="60" bestFit="1" customWidth="1"/>
    <col min="12550" max="12550" width="10.88671875" style="60" bestFit="1" customWidth="1"/>
    <col min="12551" max="12721" width="9.109375" style="60"/>
    <col min="12722" max="12723" width="8" style="60" customWidth="1"/>
    <col min="12724" max="12724" width="7" style="60" customWidth="1"/>
    <col min="12725" max="12725" width="6.6640625" style="60" customWidth="1"/>
    <col min="12726" max="12726" width="13" style="60" customWidth="1"/>
    <col min="12727" max="12727" width="22.44140625" style="60" customWidth="1"/>
    <col min="12728" max="12729" width="9.109375" style="60"/>
    <col min="12730" max="12730" width="23.33203125" style="60" customWidth="1"/>
    <col min="12731" max="12731" width="20.33203125" style="60" customWidth="1"/>
    <col min="12732" max="12732" width="13" style="60" customWidth="1"/>
    <col min="12733" max="12733" width="13" style="60" bestFit="1" customWidth="1"/>
    <col min="12734" max="12800" width="9.109375" style="60"/>
    <col min="12801" max="12801" width="17.109375" style="60" customWidth="1"/>
    <col min="12802" max="12802" width="8.5546875" style="60" customWidth="1"/>
    <col min="12803" max="12803" width="29.109375" style="60" bestFit="1" customWidth="1"/>
    <col min="12804" max="12804" width="18.88671875" style="60" bestFit="1" customWidth="1"/>
    <col min="12805" max="12805" width="31.44140625" style="60" bestFit="1" customWidth="1"/>
    <col min="12806" max="12806" width="10.88671875" style="60" bestFit="1" customWidth="1"/>
    <col min="12807" max="12977" width="9.109375" style="60"/>
    <col min="12978" max="12979" width="8" style="60" customWidth="1"/>
    <col min="12980" max="12980" width="7" style="60" customWidth="1"/>
    <col min="12981" max="12981" width="6.6640625" style="60" customWidth="1"/>
    <col min="12982" max="12982" width="13" style="60" customWidth="1"/>
    <col min="12983" max="12983" width="22.44140625" style="60" customWidth="1"/>
    <col min="12984" max="12985" width="9.109375" style="60"/>
    <col min="12986" max="12986" width="23.33203125" style="60" customWidth="1"/>
    <col min="12987" max="12987" width="20.33203125" style="60" customWidth="1"/>
    <col min="12988" max="12988" width="13" style="60" customWidth="1"/>
    <col min="12989" max="12989" width="13" style="60" bestFit="1" customWidth="1"/>
    <col min="12990" max="13056" width="9.109375" style="60"/>
    <col min="13057" max="13057" width="17.109375" style="60" customWidth="1"/>
    <col min="13058" max="13058" width="8.5546875" style="60" customWidth="1"/>
    <col min="13059" max="13059" width="29.109375" style="60" bestFit="1" customWidth="1"/>
    <col min="13060" max="13060" width="18.88671875" style="60" bestFit="1" customWidth="1"/>
    <col min="13061" max="13061" width="31.44140625" style="60" bestFit="1" customWidth="1"/>
    <col min="13062" max="13062" width="10.88671875" style="60" bestFit="1" customWidth="1"/>
    <col min="13063" max="13233" width="9.109375" style="60"/>
    <col min="13234" max="13235" width="8" style="60" customWidth="1"/>
    <col min="13236" max="13236" width="7" style="60" customWidth="1"/>
    <col min="13237" max="13237" width="6.6640625" style="60" customWidth="1"/>
    <col min="13238" max="13238" width="13" style="60" customWidth="1"/>
    <col min="13239" max="13239" width="22.44140625" style="60" customWidth="1"/>
    <col min="13240" max="13241" width="9.109375" style="60"/>
    <col min="13242" max="13242" width="23.33203125" style="60" customWidth="1"/>
    <col min="13243" max="13243" width="20.33203125" style="60" customWidth="1"/>
    <col min="13244" max="13244" width="13" style="60" customWidth="1"/>
    <col min="13245" max="13245" width="13" style="60" bestFit="1" customWidth="1"/>
    <col min="13246" max="13312" width="9.109375" style="60"/>
    <col min="13313" max="13313" width="17.109375" style="60" customWidth="1"/>
    <col min="13314" max="13314" width="8.5546875" style="60" customWidth="1"/>
    <col min="13315" max="13315" width="29.109375" style="60" bestFit="1" customWidth="1"/>
    <col min="13316" max="13316" width="18.88671875" style="60" bestFit="1" customWidth="1"/>
    <col min="13317" max="13317" width="31.44140625" style="60" bestFit="1" customWidth="1"/>
    <col min="13318" max="13318" width="10.88671875" style="60" bestFit="1" customWidth="1"/>
    <col min="13319" max="13489" width="9.109375" style="60"/>
    <col min="13490" max="13491" width="8" style="60" customWidth="1"/>
    <col min="13492" max="13492" width="7" style="60" customWidth="1"/>
    <col min="13493" max="13493" width="6.6640625" style="60" customWidth="1"/>
    <col min="13494" max="13494" width="13" style="60" customWidth="1"/>
    <col min="13495" max="13495" width="22.44140625" style="60" customWidth="1"/>
    <col min="13496" max="13497" width="9.109375" style="60"/>
    <col min="13498" max="13498" width="23.33203125" style="60" customWidth="1"/>
    <col min="13499" max="13499" width="20.33203125" style="60" customWidth="1"/>
    <col min="13500" max="13500" width="13" style="60" customWidth="1"/>
    <col min="13501" max="13501" width="13" style="60" bestFit="1" customWidth="1"/>
    <col min="13502" max="13568" width="9.109375" style="60"/>
    <col min="13569" max="13569" width="17.109375" style="60" customWidth="1"/>
    <col min="13570" max="13570" width="8.5546875" style="60" customWidth="1"/>
    <col min="13571" max="13571" width="29.109375" style="60" bestFit="1" customWidth="1"/>
    <col min="13572" max="13572" width="18.88671875" style="60" bestFit="1" customWidth="1"/>
    <col min="13573" max="13573" width="31.44140625" style="60" bestFit="1" customWidth="1"/>
    <col min="13574" max="13574" width="10.88671875" style="60" bestFit="1" customWidth="1"/>
    <col min="13575" max="13745" width="9.109375" style="60"/>
    <col min="13746" max="13747" width="8" style="60" customWidth="1"/>
    <col min="13748" max="13748" width="7" style="60" customWidth="1"/>
    <col min="13749" max="13749" width="6.6640625" style="60" customWidth="1"/>
    <col min="13750" max="13750" width="13" style="60" customWidth="1"/>
    <col min="13751" max="13751" width="22.44140625" style="60" customWidth="1"/>
    <col min="13752" max="13753" width="9.109375" style="60"/>
    <col min="13754" max="13754" width="23.33203125" style="60" customWidth="1"/>
    <col min="13755" max="13755" width="20.33203125" style="60" customWidth="1"/>
    <col min="13756" max="13756" width="13" style="60" customWidth="1"/>
    <col min="13757" max="13757" width="13" style="60" bestFit="1" customWidth="1"/>
    <col min="13758" max="13824" width="9.109375" style="60"/>
    <col min="13825" max="13825" width="17.109375" style="60" customWidth="1"/>
    <col min="13826" max="13826" width="8.5546875" style="60" customWidth="1"/>
    <col min="13827" max="13827" width="29.109375" style="60" bestFit="1" customWidth="1"/>
    <col min="13828" max="13828" width="18.88671875" style="60" bestFit="1" customWidth="1"/>
    <col min="13829" max="13829" width="31.44140625" style="60" bestFit="1" customWidth="1"/>
    <col min="13830" max="13830" width="10.88671875" style="60" bestFit="1" customWidth="1"/>
    <col min="13831" max="14001" width="9.109375" style="60"/>
    <col min="14002" max="14003" width="8" style="60" customWidth="1"/>
    <col min="14004" max="14004" width="7" style="60" customWidth="1"/>
    <col min="14005" max="14005" width="6.6640625" style="60" customWidth="1"/>
    <col min="14006" max="14006" width="13" style="60" customWidth="1"/>
    <col min="14007" max="14007" width="22.44140625" style="60" customWidth="1"/>
    <col min="14008" max="14009" width="9.109375" style="60"/>
    <col min="14010" max="14010" width="23.33203125" style="60" customWidth="1"/>
    <col min="14011" max="14011" width="20.33203125" style="60" customWidth="1"/>
    <col min="14012" max="14012" width="13" style="60" customWidth="1"/>
    <col min="14013" max="14013" width="13" style="60" bestFit="1" customWidth="1"/>
    <col min="14014" max="14080" width="9.109375" style="60"/>
    <col min="14081" max="14081" width="17.109375" style="60" customWidth="1"/>
    <col min="14082" max="14082" width="8.5546875" style="60" customWidth="1"/>
    <col min="14083" max="14083" width="29.109375" style="60" bestFit="1" customWidth="1"/>
    <col min="14084" max="14084" width="18.88671875" style="60" bestFit="1" customWidth="1"/>
    <col min="14085" max="14085" width="31.44140625" style="60" bestFit="1" customWidth="1"/>
    <col min="14086" max="14086" width="10.88671875" style="60" bestFit="1" customWidth="1"/>
    <col min="14087" max="14257" width="9.109375" style="60"/>
    <col min="14258" max="14259" width="8" style="60" customWidth="1"/>
    <col min="14260" max="14260" width="7" style="60" customWidth="1"/>
    <col min="14261" max="14261" width="6.6640625" style="60" customWidth="1"/>
    <col min="14262" max="14262" width="13" style="60" customWidth="1"/>
    <col min="14263" max="14263" width="22.44140625" style="60" customWidth="1"/>
    <col min="14264" max="14265" width="9.109375" style="60"/>
    <col min="14266" max="14266" width="23.33203125" style="60" customWidth="1"/>
    <col min="14267" max="14267" width="20.33203125" style="60" customWidth="1"/>
    <col min="14268" max="14268" width="13" style="60" customWidth="1"/>
    <col min="14269" max="14269" width="13" style="60" bestFit="1" customWidth="1"/>
    <col min="14270" max="14336" width="9.109375" style="60"/>
    <col min="14337" max="14337" width="17.109375" style="60" customWidth="1"/>
    <col min="14338" max="14338" width="8.5546875" style="60" customWidth="1"/>
    <col min="14339" max="14339" width="29.109375" style="60" bestFit="1" customWidth="1"/>
    <col min="14340" max="14340" width="18.88671875" style="60" bestFit="1" customWidth="1"/>
    <col min="14341" max="14341" width="31.44140625" style="60" bestFit="1" customWidth="1"/>
    <col min="14342" max="14342" width="10.88671875" style="60" bestFit="1" customWidth="1"/>
    <col min="14343" max="14513" width="9.109375" style="60"/>
    <col min="14514" max="14515" width="8" style="60" customWidth="1"/>
    <col min="14516" max="14516" width="7" style="60" customWidth="1"/>
    <col min="14517" max="14517" width="6.6640625" style="60" customWidth="1"/>
    <col min="14518" max="14518" width="13" style="60" customWidth="1"/>
    <col min="14519" max="14519" width="22.44140625" style="60" customWidth="1"/>
    <col min="14520" max="14521" width="9.109375" style="60"/>
    <col min="14522" max="14522" width="23.33203125" style="60" customWidth="1"/>
    <col min="14523" max="14523" width="20.33203125" style="60" customWidth="1"/>
    <col min="14524" max="14524" width="13" style="60" customWidth="1"/>
    <col min="14525" max="14525" width="13" style="60" bestFit="1" customWidth="1"/>
    <col min="14526" max="14592" width="9.109375" style="60"/>
    <col min="14593" max="14593" width="17.109375" style="60" customWidth="1"/>
    <col min="14594" max="14594" width="8.5546875" style="60" customWidth="1"/>
    <col min="14595" max="14595" width="29.109375" style="60" bestFit="1" customWidth="1"/>
    <col min="14596" max="14596" width="18.88671875" style="60" bestFit="1" customWidth="1"/>
    <col min="14597" max="14597" width="31.44140625" style="60" bestFit="1" customWidth="1"/>
    <col min="14598" max="14598" width="10.88671875" style="60" bestFit="1" customWidth="1"/>
    <col min="14599" max="14769" width="9.109375" style="60"/>
    <col min="14770" max="14771" width="8" style="60" customWidth="1"/>
    <col min="14772" max="14772" width="7" style="60" customWidth="1"/>
    <col min="14773" max="14773" width="6.6640625" style="60" customWidth="1"/>
    <col min="14774" max="14774" width="13" style="60" customWidth="1"/>
    <col min="14775" max="14775" width="22.44140625" style="60" customWidth="1"/>
    <col min="14776" max="14777" width="9.109375" style="60"/>
    <col min="14778" max="14778" width="23.33203125" style="60" customWidth="1"/>
    <col min="14779" max="14779" width="20.33203125" style="60" customWidth="1"/>
    <col min="14780" max="14780" width="13" style="60" customWidth="1"/>
    <col min="14781" max="14781" width="13" style="60" bestFit="1" customWidth="1"/>
    <col min="14782" max="14848" width="9.109375" style="60"/>
    <col min="14849" max="14849" width="17.109375" style="60" customWidth="1"/>
    <col min="14850" max="14850" width="8.5546875" style="60" customWidth="1"/>
    <col min="14851" max="14851" width="29.109375" style="60" bestFit="1" customWidth="1"/>
    <col min="14852" max="14852" width="18.88671875" style="60" bestFit="1" customWidth="1"/>
    <col min="14853" max="14853" width="31.44140625" style="60" bestFit="1" customWidth="1"/>
    <col min="14854" max="14854" width="10.88671875" style="60" bestFit="1" customWidth="1"/>
    <col min="14855" max="15025" width="9.109375" style="60"/>
    <col min="15026" max="15027" width="8" style="60" customWidth="1"/>
    <col min="15028" max="15028" width="7" style="60" customWidth="1"/>
    <col min="15029" max="15029" width="6.6640625" style="60" customWidth="1"/>
    <col min="15030" max="15030" width="13" style="60" customWidth="1"/>
    <col min="15031" max="15031" width="22.44140625" style="60" customWidth="1"/>
    <col min="15032" max="15033" width="9.109375" style="60"/>
    <col min="15034" max="15034" width="23.33203125" style="60" customWidth="1"/>
    <col min="15035" max="15035" width="20.33203125" style="60" customWidth="1"/>
    <col min="15036" max="15036" width="13" style="60" customWidth="1"/>
    <col min="15037" max="15037" width="13" style="60" bestFit="1" customWidth="1"/>
    <col min="15038" max="15104" width="9.109375" style="60"/>
    <col min="15105" max="15105" width="17.109375" style="60" customWidth="1"/>
    <col min="15106" max="15106" width="8.5546875" style="60" customWidth="1"/>
    <col min="15107" max="15107" width="29.109375" style="60" bestFit="1" customWidth="1"/>
    <col min="15108" max="15108" width="18.88671875" style="60" bestFit="1" customWidth="1"/>
    <col min="15109" max="15109" width="31.44140625" style="60" bestFit="1" customWidth="1"/>
    <col min="15110" max="15110" width="10.88671875" style="60" bestFit="1" customWidth="1"/>
    <col min="15111" max="15281" width="9.109375" style="60"/>
    <col min="15282" max="15283" width="8" style="60" customWidth="1"/>
    <col min="15284" max="15284" width="7" style="60" customWidth="1"/>
    <col min="15285" max="15285" width="6.6640625" style="60" customWidth="1"/>
    <col min="15286" max="15286" width="13" style="60" customWidth="1"/>
    <col min="15287" max="15287" width="22.44140625" style="60" customWidth="1"/>
    <col min="15288" max="15289" width="9.109375" style="60"/>
    <col min="15290" max="15290" width="23.33203125" style="60" customWidth="1"/>
    <col min="15291" max="15291" width="20.33203125" style="60" customWidth="1"/>
    <col min="15292" max="15292" width="13" style="60" customWidth="1"/>
    <col min="15293" max="15293" width="13" style="60" bestFit="1" customWidth="1"/>
    <col min="15294" max="15360" width="9.109375" style="60"/>
    <col min="15361" max="15361" width="17.109375" style="60" customWidth="1"/>
    <col min="15362" max="15362" width="8.5546875" style="60" customWidth="1"/>
    <col min="15363" max="15363" width="29.109375" style="60" bestFit="1" customWidth="1"/>
    <col min="15364" max="15364" width="18.88671875" style="60" bestFit="1" customWidth="1"/>
    <col min="15365" max="15365" width="31.44140625" style="60" bestFit="1" customWidth="1"/>
    <col min="15366" max="15366" width="10.88671875" style="60" bestFit="1" customWidth="1"/>
    <col min="15367" max="15537" width="9.109375" style="60"/>
    <col min="15538" max="15539" width="8" style="60" customWidth="1"/>
    <col min="15540" max="15540" width="7" style="60" customWidth="1"/>
    <col min="15541" max="15541" width="6.6640625" style="60" customWidth="1"/>
    <col min="15542" max="15542" width="13" style="60" customWidth="1"/>
    <col min="15543" max="15543" width="22.44140625" style="60" customWidth="1"/>
    <col min="15544" max="15545" width="9.109375" style="60"/>
    <col min="15546" max="15546" width="23.33203125" style="60" customWidth="1"/>
    <col min="15547" max="15547" width="20.33203125" style="60" customWidth="1"/>
    <col min="15548" max="15548" width="13" style="60" customWidth="1"/>
    <col min="15549" max="15549" width="13" style="60" bestFit="1" customWidth="1"/>
    <col min="15550" max="15616" width="9.109375" style="60"/>
    <col min="15617" max="15617" width="17.109375" style="60" customWidth="1"/>
    <col min="15618" max="15618" width="8.5546875" style="60" customWidth="1"/>
    <col min="15619" max="15619" width="29.109375" style="60" bestFit="1" customWidth="1"/>
    <col min="15620" max="15620" width="18.88671875" style="60" bestFit="1" customWidth="1"/>
    <col min="15621" max="15621" width="31.44140625" style="60" bestFit="1" customWidth="1"/>
    <col min="15622" max="15622" width="10.88671875" style="60" bestFit="1" customWidth="1"/>
    <col min="15623" max="15793" width="9.109375" style="60"/>
    <col min="15794" max="15795" width="8" style="60" customWidth="1"/>
    <col min="15796" max="15796" width="7" style="60" customWidth="1"/>
    <col min="15797" max="15797" width="6.6640625" style="60" customWidth="1"/>
    <col min="15798" max="15798" width="13" style="60" customWidth="1"/>
    <col min="15799" max="15799" width="22.44140625" style="60" customWidth="1"/>
    <col min="15800" max="15801" width="9.109375" style="60"/>
    <col min="15802" max="15802" width="23.33203125" style="60" customWidth="1"/>
    <col min="15803" max="15803" width="20.33203125" style="60" customWidth="1"/>
    <col min="15804" max="15804" width="13" style="60" customWidth="1"/>
    <col min="15805" max="15805" width="13" style="60" bestFit="1" customWidth="1"/>
    <col min="15806" max="15872" width="9.109375" style="60"/>
    <col min="15873" max="15873" width="17.109375" style="60" customWidth="1"/>
    <col min="15874" max="15874" width="8.5546875" style="60" customWidth="1"/>
    <col min="15875" max="15875" width="29.109375" style="60" bestFit="1" customWidth="1"/>
    <col min="15876" max="15876" width="18.88671875" style="60" bestFit="1" customWidth="1"/>
    <col min="15877" max="15877" width="31.44140625" style="60" bestFit="1" customWidth="1"/>
    <col min="15878" max="15878" width="10.88671875" style="60" bestFit="1" customWidth="1"/>
    <col min="15879" max="16049" width="9.109375" style="60"/>
    <col min="16050" max="16051" width="8" style="60" customWidth="1"/>
    <col min="16052" max="16052" width="7" style="60" customWidth="1"/>
    <col min="16053" max="16053" width="6.6640625" style="60" customWidth="1"/>
    <col min="16054" max="16054" width="13" style="60" customWidth="1"/>
    <col min="16055" max="16055" width="22.44140625" style="60" customWidth="1"/>
    <col min="16056" max="16057" width="9.109375" style="60"/>
    <col min="16058" max="16058" width="23.33203125" style="60" customWidth="1"/>
    <col min="16059" max="16059" width="20.33203125" style="60" customWidth="1"/>
    <col min="16060" max="16060" width="13" style="60" customWidth="1"/>
    <col min="16061" max="16061" width="13" style="60" bestFit="1" customWidth="1"/>
    <col min="16062" max="16128" width="9.109375" style="60"/>
    <col min="16129" max="16129" width="17.109375" style="60" customWidth="1"/>
    <col min="16130" max="16130" width="8.5546875" style="60" customWidth="1"/>
    <col min="16131" max="16131" width="29.109375" style="60" bestFit="1" customWidth="1"/>
    <col min="16132" max="16132" width="18.88671875" style="60" bestFit="1" customWidth="1"/>
    <col min="16133" max="16133" width="31.44140625" style="60" bestFit="1" customWidth="1"/>
    <col min="16134" max="16134" width="10.88671875" style="60" bestFit="1" customWidth="1"/>
    <col min="16135" max="16305" width="9.109375" style="60"/>
    <col min="16306" max="16307" width="8" style="60" customWidth="1"/>
    <col min="16308" max="16308" width="7" style="60" customWidth="1"/>
    <col min="16309" max="16309" width="6.6640625" style="60" customWidth="1"/>
    <col min="16310" max="16310" width="13" style="60" customWidth="1"/>
    <col min="16311" max="16311" width="22.44140625" style="60" customWidth="1"/>
    <col min="16312" max="16313" width="9.109375" style="60"/>
    <col min="16314" max="16314" width="23.33203125" style="60" customWidth="1"/>
    <col min="16315" max="16315" width="20.33203125" style="60" customWidth="1"/>
    <col min="16316" max="16316" width="13" style="60" customWidth="1"/>
    <col min="16317" max="16317" width="13" style="60" bestFit="1" customWidth="1"/>
    <col min="16318" max="16384" width="9.109375" style="60"/>
  </cols>
  <sheetData>
    <row r="1" spans="1:4" x14ac:dyDescent="0.25">
      <c r="A1" s="135" t="s">
        <v>191</v>
      </c>
    </row>
    <row r="2" spans="1:4" x14ac:dyDescent="0.25">
      <c r="A2" s="135" t="s">
        <v>16</v>
      </c>
    </row>
    <row r="4" spans="1:4" ht="50.25" customHeight="1" x14ac:dyDescent="0.3">
      <c r="A4" s="55" t="s">
        <v>192</v>
      </c>
      <c r="C4" s="56" t="s">
        <v>193</v>
      </c>
      <c r="D4" s="11" t="s">
        <v>194</v>
      </c>
    </row>
    <row r="5" spans="1:4" ht="60.75" customHeight="1" x14ac:dyDescent="0.3">
      <c r="A5" s="55" t="s">
        <v>112</v>
      </c>
      <c r="C5" s="11" t="s">
        <v>43</v>
      </c>
    </row>
    <row r="6" spans="1:4" ht="59.25" customHeight="1" x14ac:dyDescent="0.3">
      <c r="A6" s="55" t="s">
        <v>195</v>
      </c>
      <c r="B6" s="137" t="s">
        <v>196</v>
      </c>
      <c r="C6" s="11" t="s">
        <v>197</v>
      </c>
    </row>
    <row r="7" spans="1:4" ht="46.8" x14ac:dyDescent="0.3">
      <c r="A7" s="55" t="s">
        <v>198</v>
      </c>
      <c r="B7" s="137"/>
      <c r="C7" s="57" t="s">
        <v>199</v>
      </c>
      <c r="D7" s="11" t="s">
        <v>200</v>
      </c>
    </row>
    <row r="8" spans="1:4" ht="42" customHeight="1" x14ac:dyDescent="0.25">
      <c r="A8" s="55" t="s">
        <v>201</v>
      </c>
      <c r="C8" s="58" t="s">
        <v>202</v>
      </c>
      <c r="D8" s="58" t="s">
        <v>203</v>
      </c>
    </row>
    <row r="9" spans="1:4" x14ac:dyDescent="0.25">
      <c r="A9" s="59" t="s">
        <v>204</v>
      </c>
      <c r="B9" s="58" t="s">
        <v>67</v>
      </c>
      <c r="C9" s="58" t="s">
        <v>205</v>
      </c>
    </row>
  </sheetData>
  <mergeCells count="2">
    <mergeCell ref="A1:A2"/>
    <mergeCell ref="B6:B7"/>
  </mergeCells>
  <pageMargins left="0.7" right="0.7" top="0.75" bottom="0.75" header="0.3" footer="0.3"/>
  <pageSetup paperSize="9" scale="95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I19"/>
  <sheetViews>
    <sheetView view="pageBreakPreview" topLeftCell="A12" zoomScaleNormal="85" zoomScaleSheetLayoutView="100" workbookViewId="0">
      <selection activeCell="F29" sqref="F29"/>
    </sheetView>
  </sheetViews>
  <sheetFormatPr defaultRowHeight="14.4" x14ac:dyDescent="0.3"/>
  <cols>
    <col min="1" max="1" width="25.109375" style="6" customWidth="1"/>
    <col min="2" max="2" width="5.6640625" style="3" customWidth="1"/>
    <col min="3" max="3" width="32.5546875" style="3" customWidth="1"/>
    <col min="4" max="4" width="13.33203125" style="3" customWidth="1"/>
    <col min="5" max="5" width="22.6640625" style="3" bestFit="1" customWidth="1"/>
    <col min="6" max="6" width="13.33203125" style="3" customWidth="1"/>
    <col min="7" max="7" width="6.88671875" customWidth="1"/>
    <col min="8" max="8" width="13" customWidth="1"/>
    <col min="9" max="9" width="11.44140625" bestFit="1" customWidth="1"/>
    <col min="10" max="10" width="12.33203125" bestFit="1" customWidth="1"/>
    <col min="11" max="11" width="10.33203125" bestFit="1" customWidth="1"/>
    <col min="12" max="12" width="19.5546875" bestFit="1" customWidth="1"/>
    <col min="13" max="13" width="28.44140625" bestFit="1" customWidth="1"/>
    <col min="14" max="14" width="12.5546875" bestFit="1" customWidth="1"/>
    <col min="15" max="15" width="14.109375" bestFit="1" customWidth="1"/>
    <col min="16" max="16" width="11.88671875" bestFit="1" customWidth="1"/>
    <col min="17" max="17" width="17" bestFit="1" customWidth="1"/>
    <col min="18" max="18" width="11.33203125" bestFit="1" customWidth="1"/>
    <col min="19" max="19" width="8.5546875" bestFit="1" customWidth="1"/>
    <col min="20" max="20" width="11.44140625" bestFit="1" customWidth="1"/>
  </cols>
  <sheetData>
    <row r="1" spans="1:9" ht="36" customHeight="1" x14ac:dyDescent="0.6">
      <c r="A1" s="27" t="s">
        <v>40</v>
      </c>
      <c r="B1" s="26"/>
      <c r="C1" s="26"/>
      <c r="D1" s="26"/>
      <c r="E1" s="26"/>
      <c r="F1" s="26"/>
    </row>
    <row r="2" spans="1:9" ht="18.600000000000001" x14ac:dyDescent="0.6">
      <c r="A2" s="28"/>
      <c r="B2" s="26"/>
      <c r="C2" s="26"/>
      <c r="D2" s="26"/>
      <c r="E2" s="26"/>
      <c r="F2" s="26"/>
      <c r="H2" s="19"/>
      <c r="I2" s="19"/>
    </row>
    <row r="3" spans="1:9" ht="30.6" x14ac:dyDescent="0.6">
      <c r="A3" s="30" t="s">
        <v>24</v>
      </c>
      <c r="B3" s="31" t="s">
        <v>67</v>
      </c>
      <c r="C3" s="9" t="s">
        <v>254</v>
      </c>
      <c r="D3" s="9"/>
      <c r="E3" s="53" t="s">
        <v>97</v>
      </c>
      <c r="F3" s="26"/>
    </row>
    <row r="4" spans="1:9" ht="28.8" x14ac:dyDescent="0.6">
      <c r="A4" s="29" t="s">
        <v>11</v>
      </c>
      <c r="B4" s="26"/>
      <c r="C4" s="8" t="s">
        <v>255</v>
      </c>
      <c r="D4" s="26"/>
      <c r="E4" s="53" t="s">
        <v>98</v>
      </c>
      <c r="F4" s="26"/>
    </row>
    <row r="5" spans="1:9" ht="27" customHeight="1" x14ac:dyDescent="0.6">
      <c r="A5" s="29" t="s">
        <v>25</v>
      </c>
      <c r="B5" s="26"/>
      <c r="C5" s="8" t="s">
        <v>256</v>
      </c>
      <c r="D5" s="26"/>
      <c r="E5" s="53" t="s">
        <v>99</v>
      </c>
      <c r="F5" s="26"/>
    </row>
    <row r="6" spans="1:9" ht="18.600000000000001" x14ac:dyDescent="0.6">
      <c r="A6" s="29" t="s">
        <v>26</v>
      </c>
      <c r="B6" s="26"/>
      <c r="C6" s="35" t="s">
        <v>101</v>
      </c>
      <c r="D6" s="26"/>
      <c r="E6" s="74" t="s">
        <v>100</v>
      </c>
      <c r="F6" s="26"/>
    </row>
    <row r="7" spans="1:9" ht="18.600000000000001" x14ac:dyDescent="0.6">
      <c r="A7" s="29" t="s">
        <v>27</v>
      </c>
      <c r="B7" s="26"/>
      <c r="C7" s="35" t="s">
        <v>103</v>
      </c>
      <c r="D7" s="26"/>
      <c r="E7" s="74" t="s">
        <v>102</v>
      </c>
      <c r="F7" s="26"/>
    </row>
    <row r="8" spans="1:9" ht="27" customHeight="1" x14ac:dyDescent="0.6">
      <c r="A8" s="29" t="s">
        <v>28</v>
      </c>
      <c r="B8" s="26"/>
      <c r="C8" s="75" t="s">
        <v>45</v>
      </c>
      <c r="D8" s="26"/>
      <c r="E8" s="26"/>
      <c r="F8" s="26"/>
    </row>
    <row r="9" spans="1:9" ht="28.8" x14ac:dyDescent="0.6">
      <c r="A9" s="29" t="s">
        <v>29</v>
      </c>
      <c r="B9" s="26"/>
      <c r="C9" s="53" t="s">
        <v>104</v>
      </c>
      <c r="D9" s="26"/>
      <c r="E9" s="26"/>
      <c r="F9" s="26"/>
    </row>
    <row r="10" spans="1:9" ht="37.5" customHeight="1" x14ac:dyDescent="0.6">
      <c r="A10" s="29" t="s">
        <v>30</v>
      </c>
      <c r="B10" s="26"/>
      <c r="C10" s="53" t="s">
        <v>105</v>
      </c>
      <c r="D10" s="26"/>
      <c r="E10" s="26"/>
      <c r="F10" s="26"/>
    </row>
    <row r="11" spans="1:9" ht="28.8" x14ac:dyDescent="0.6">
      <c r="A11" s="29" t="s">
        <v>17</v>
      </c>
      <c r="B11" s="26"/>
      <c r="C11" s="53" t="s">
        <v>107</v>
      </c>
      <c r="D11" s="26"/>
      <c r="E11" s="53" t="s">
        <v>106</v>
      </c>
      <c r="F11" s="26"/>
    </row>
    <row r="12" spans="1:9" ht="28.8" x14ac:dyDescent="0.6">
      <c r="A12" s="29" t="s">
        <v>37</v>
      </c>
      <c r="B12" s="26"/>
      <c r="C12" s="53" t="s">
        <v>107</v>
      </c>
      <c r="D12" s="26"/>
      <c r="E12" s="53" t="s">
        <v>108</v>
      </c>
      <c r="F12" s="26"/>
    </row>
    <row r="13" spans="1:9" ht="28.8" x14ac:dyDescent="0.6">
      <c r="A13" s="29" t="s">
        <v>31</v>
      </c>
      <c r="B13" s="26"/>
      <c r="C13" s="53" t="s">
        <v>107</v>
      </c>
      <c r="D13" s="26"/>
      <c r="E13" s="53" t="s">
        <v>109</v>
      </c>
      <c r="F13" s="26"/>
    </row>
    <row r="14" spans="1:9" ht="28.8" x14ac:dyDescent="0.6">
      <c r="A14" s="29" t="s">
        <v>38</v>
      </c>
      <c r="B14" s="26"/>
      <c r="C14" s="53" t="s">
        <v>107</v>
      </c>
      <c r="D14" s="26"/>
      <c r="E14" s="53" t="s">
        <v>109</v>
      </c>
      <c r="F14" s="26"/>
    </row>
    <row r="15" spans="1:9" ht="27.75" customHeight="1" x14ac:dyDescent="0.6">
      <c r="A15" s="29" t="s">
        <v>39</v>
      </c>
      <c r="B15" s="26"/>
      <c r="C15" s="53" t="s">
        <v>107</v>
      </c>
      <c r="D15" s="26"/>
      <c r="E15" s="53" t="s">
        <v>109</v>
      </c>
      <c r="F15" s="26"/>
    </row>
    <row r="16" spans="1:9" ht="17.25" customHeight="1" x14ac:dyDescent="0.6">
      <c r="A16" s="30" t="s">
        <v>32</v>
      </c>
      <c r="B16" s="32" t="s">
        <v>67</v>
      </c>
      <c r="C16" s="74" t="s">
        <v>110</v>
      </c>
      <c r="D16" s="26"/>
      <c r="E16" s="26"/>
      <c r="F16" s="26"/>
    </row>
    <row r="17" spans="1:6" ht="18.75" customHeight="1" x14ac:dyDescent="0.6">
      <c r="A17" s="30" t="s">
        <v>33</v>
      </c>
      <c r="B17" s="32" t="s">
        <v>67</v>
      </c>
      <c r="C17" s="2" t="s">
        <v>260</v>
      </c>
      <c r="D17" s="33"/>
      <c r="E17" s="26"/>
      <c r="F17" s="26"/>
    </row>
    <row r="18" spans="1:6" ht="18.600000000000001" x14ac:dyDescent="0.3">
      <c r="A18" s="25" t="s">
        <v>34</v>
      </c>
      <c r="C18" s="74" t="s">
        <v>110</v>
      </c>
      <c r="D18" s="34" t="s">
        <v>36</v>
      </c>
    </row>
    <row r="19" spans="1:6" ht="18.600000000000001" x14ac:dyDescent="0.6">
      <c r="A19" s="25" t="s">
        <v>258</v>
      </c>
      <c r="B19" s="32" t="s">
        <v>67</v>
      </c>
      <c r="C19" s="74" t="s">
        <v>259</v>
      </c>
      <c r="D19" s="34"/>
    </row>
  </sheetData>
  <pageMargins left="0.4" right="0.7" top="0.75" bottom="0.75" header="0.3" footer="0.3"/>
  <pageSetup paperSize="9" scale="8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M23"/>
  <sheetViews>
    <sheetView view="pageBreakPreview" zoomScale="85" zoomScaleNormal="100" zoomScaleSheetLayoutView="85" workbookViewId="0">
      <selection activeCell="J14" sqref="J14"/>
    </sheetView>
  </sheetViews>
  <sheetFormatPr defaultRowHeight="14.4" x14ac:dyDescent="0.3"/>
  <cols>
    <col min="1" max="1" width="23.6640625" customWidth="1"/>
    <col min="2" max="2" width="7.33203125" bestFit="1" customWidth="1"/>
    <col min="3" max="3" width="30.33203125" style="6" customWidth="1"/>
    <col min="4" max="4" width="10.88671875" customWidth="1"/>
    <col min="5" max="5" width="8.5546875" customWidth="1"/>
    <col min="6" max="6" width="39.5546875" style="6" customWidth="1"/>
    <col min="7" max="7" width="6.109375" customWidth="1"/>
    <col min="8" max="8" width="3.5546875" customWidth="1"/>
    <col min="10" max="10" width="15" bestFit="1" customWidth="1"/>
    <col min="11" max="11" width="11.44140625" bestFit="1" customWidth="1"/>
    <col min="12" max="12" width="10.88671875" bestFit="1" customWidth="1"/>
  </cols>
  <sheetData>
    <row r="1" spans="1:13" ht="15" customHeight="1" x14ac:dyDescent="0.3">
      <c r="A1" s="135" t="s">
        <v>41</v>
      </c>
    </row>
    <row r="2" spans="1:13" ht="27.75" customHeight="1" x14ac:dyDescent="0.3">
      <c r="A2" s="135" t="s">
        <v>16</v>
      </c>
    </row>
    <row r="3" spans="1:13" ht="27.75" customHeight="1" x14ac:dyDescent="0.3">
      <c r="A3" s="83" t="s">
        <v>266</v>
      </c>
    </row>
    <row r="4" spans="1:13" ht="39" customHeight="1" x14ac:dyDescent="0.6">
      <c r="A4" s="20" t="s">
        <v>16</v>
      </c>
      <c r="C4" s="11" t="s">
        <v>78</v>
      </c>
      <c r="F4" s="11" t="s">
        <v>77</v>
      </c>
    </row>
    <row r="5" spans="1:13" ht="41.25" customHeight="1" x14ac:dyDescent="0.6">
      <c r="A5" s="20" t="s">
        <v>5</v>
      </c>
      <c r="C5" s="11" t="s">
        <v>76</v>
      </c>
      <c r="F5" s="11" t="s">
        <v>77</v>
      </c>
    </row>
    <row r="6" spans="1:13" s="3" customFormat="1" ht="36" customHeight="1" x14ac:dyDescent="0.6">
      <c r="A6" s="82" t="s">
        <v>17</v>
      </c>
      <c r="B6" s="80" t="s">
        <v>67</v>
      </c>
      <c r="C6" s="81" t="s">
        <v>79</v>
      </c>
      <c r="F6" s="81" t="s">
        <v>80</v>
      </c>
      <c r="M6" s="26"/>
    </row>
    <row r="7" spans="1:13" ht="25.5" customHeight="1" x14ac:dyDescent="0.6">
      <c r="A7" s="21" t="s">
        <v>18</v>
      </c>
      <c r="B7" s="1" t="s">
        <v>67</v>
      </c>
      <c r="C7" s="11" t="s">
        <v>82</v>
      </c>
      <c r="M7" s="2"/>
    </row>
    <row r="8" spans="1:13" ht="41.25" customHeight="1" x14ac:dyDescent="0.6">
      <c r="A8" s="21" t="s">
        <v>19</v>
      </c>
      <c r="B8" s="1" t="s">
        <v>67</v>
      </c>
      <c r="C8" s="11" t="s">
        <v>81</v>
      </c>
      <c r="F8" s="11" t="s">
        <v>83</v>
      </c>
      <c r="M8" s="2"/>
    </row>
    <row r="9" spans="1:13" ht="30.6" x14ac:dyDescent="0.6">
      <c r="A9" s="21" t="s">
        <v>20</v>
      </c>
      <c r="B9" s="1" t="s">
        <v>84</v>
      </c>
      <c r="C9" s="8" t="s">
        <v>252</v>
      </c>
      <c r="F9" s="11" t="s">
        <v>85</v>
      </c>
      <c r="M9" s="2"/>
    </row>
    <row r="10" spans="1:13" ht="30.6" x14ac:dyDescent="0.6">
      <c r="A10" s="20" t="s">
        <v>21</v>
      </c>
      <c r="C10" s="8" t="s">
        <v>253</v>
      </c>
      <c r="F10" s="11" t="s">
        <v>85</v>
      </c>
      <c r="M10" s="2"/>
    </row>
    <row r="11" spans="1:13" ht="18.600000000000001" x14ac:dyDescent="0.6">
      <c r="A11" s="20" t="s">
        <v>22</v>
      </c>
    </row>
    <row r="12" spans="1:13" ht="15" customHeight="1" x14ac:dyDescent="0.6">
      <c r="A12" s="22" t="s">
        <v>93</v>
      </c>
      <c r="C12" s="9" t="s">
        <v>87</v>
      </c>
      <c r="F12" s="53" t="s">
        <v>85</v>
      </c>
    </row>
    <row r="13" spans="1:13" ht="18" customHeight="1" x14ac:dyDescent="0.6">
      <c r="A13" s="22" t="s">
        <v>94</v>
      </c>
      <c r="C13" s="8" t="s">
        <v>87</v>
      </c>
      <c r="F13" s="53" t="s">
        <v>85</v>
      </c>
    </row>
    <row r="14" spans="1:13" ht="17.25" customHeight="1" x14ac:dyDescent="0.6">
      <c r="A14" s="22" t="s">
        <v>95</v>
      </c>
      <c r="C14" s="8" t="s">
        <v>88</v>
      </c>
      <c r="F14" s="53" t="s">
        <v>85</v>
      </c>
    </row>
    <row r="15" spans="1:13" ht="16.5" customHeight="1" x14ac:dyDescent="0.6">
      <c r="A15" s="22" t="s">
        <v>96</v>
      </c>
      <c r="C15" s="8" t="s">
        <v>89</v>
      </c>
      <c r="F15" s="53" t="s">
        <v>85</v>
      </c>
    </row>
    <row r="16" spans="1:13" x14ac:dyDescent="0.3">
      <c r="A16" s="23" t="s">
        <v>23</v>
      </c>
    </row>
    <row r="17" spans="1:6" ht="26.25" customHeight="1" x14ac:dyDescent="0.3">
      <c r="A17" s="24">
        <v>1</v>
      </c>
      <c r="B17" s="1" t="s">
        <v>67</v>
      </c>
      <c r="C17" s="18" t="s">
        <v>91</v>
      </c>
      <c r="D17" s="5" t="s">
        <v>35</v>
      </c>
      <c r="F17" s="53" t="s">
        <v>90</v>
      </c>
    </row>
    <row r="18" spans="1:6" ht="26.25" customHeight="1" x14ac:dyDescent="0.3">
      <c r="A18" s="24">
        <v>2</v>
      </c>
      <c r="B18" s="1" t="s">
        <v>67</v>
      </c>
      <c r="C18" s="11" t="s">
        <v>91</v>
      </c>
      <c r="F18" s="53" t="s">
        <v>90</v>
      </c>
    </row>
    <row r="19" spans="1:6" ht="26.25" customHeight="1" x14ac:dyDescent="0.3">
      <c r="A19" s="24">
        <v>3</v>
      </c>
      <c r="B19" s="1" t="s">
        <v>67</v>
      </c>
      <c r="C19" s="18" t="s">
        <v>91</v>
      </c>
      <c r="D19" s="1" t="s">
        <v>36</v>
      </c>
      <c r="F19" s="53" t="s">
        <v>90</v>
      </c>
    </row>
    <row r="20" spans="1:6" ht="26.25" customHeight="1" x14ac:dyDescent="0.3">
      <c r="A20" s="24">
        <v>4</v>
      </c>
      <c r="B20" s="1" t="s">
        <v>67</v>
      </c>
      <c r="C20" s="11" t="s">
        <v>91</v>
      </c>
      <c r="F20" s="53" t="s">
        <v>90</v>
      </c>
    </row>
    <row r="21" spans="1:6" x14ac:dyDescent="0.3">
      <c r="A21" s="25" t="s">
        <v>34</v>
      </c>
      <c r="C21" s="11" t="s">
        <v>92</v>
      </c>
      <c r="D21" s="19"/>
    </row>
    <row r="22" spans="1:6" x14ac:dyDescent="0.3">
      <c r="A22" t="s">
        <v>269</v>
      </c>
      <c r="B22" s="1" t="s">
        <v>67</v>
      </c>
      <c r="C22" s="6" t="s">
        <v>270</v>
      </c>
      <c r="F22" s="53" t="s">
        <v>90</v>
      </c>
    </row>
    <row r="23" spans="1:6" ht="18.600000000000001" x14ac:dyDescent="0.6">
      <c r="A23" s="25" t="s">
        <v>258</v>
      </c>
      <c r="B23" s="32" t="s">
        <v>67</v>
      </c>
      <c r="C23" s="74" t="s">
        <v>259</v>
      </c>
      <c r="D23" s="34"/>
      <c r="E23" s="3"/>
      <c r="F23" s="3"/>
    </row>
  </sheetData>
  <mergeCells count="1">
    <mergeCell ref="A1:A2"/>
  </mergeCells>
  <pageMargins left="0.31496062992125984" right="0.31496062992125984" top="0.15748031496062992" bottom="0.15748031496062992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D32"/>
  <sheetViews>
    <sheetView view="pageBreakPreview" zoomScaleSheetLayoutView="100" workbookViewId="0">
      <pane ySplit="1" topLeftCell="A2" activePane="bottomLeft" state="frozen"/>
      <selection pane="bottomLeft" activeCell="C35" sqref="C35"/>
    </sheetView>
  </sheetViews>
  <sheetFormatPr defaultRowHeight="13.2" x14ac:dyDescent="0.25"/>
  <cols>
    <col min="1" max="1" width="22" style="51" bestFit="1" customWidth="1"/>
    <col min="2" max="2" width="4.5546875" style="44" bestFit="1" customWidth="1"/>
    <col min="3" max="3" width="24.109375" style="44" customWidth="1"/>
    <col min="4" max="4" width="12.5546875" style="44" customWidth="1"/>
    <col min="5" max="5" width="14.6640625" style="44" customWidth="1"/>
    <col min="6" max="6" width="13.88671875" style="44" customWidth="1"/>
    <col min="7" max="7" width="8" style="44" bestFit="1" customWidth="1"/>
    <col min="8" max="8" width="7.33203125" style="44" bestFit="1" customWidth="1"/>
    <col min="9" max="9" width="22.109375" style="44" bestFit="1" customWidth="1"/>
    <col min="10" max="10" width="31" style="44" bestFit="1" customWidth="1"/>
    <col min="11" max="11" width="47.88671875" style="44" bestFit="1" customWidth="1"/>
    <col min="12" max="12" width="8.33203125" style="44" customWidth="1"/>
    <col min="13" max="13" width="8.88671875" style="44" customWidth="1"/>
    <col min="14" max="14" width="6.44140625" style="44" bestFit="1" customWidth="1"/>
    <col min="15" max="15" width="8.5546875" style="44" bestFit="1" customWidth="1"/>
    <col min="16" max="16" width="13.88671875" style="44" bestFit="1" customWidth="1"/>
    <col min="17" max="17" width="10.44140625" style="44" bestFit="1" customWidth="1"/>
    <col min="18" max="18" width="9.33203125" style="44" bestFit="1" customWidth="1"/>
    <col min="19" max="19" width="17" style="44" bestFit="1" customWidth="1"/>
    <col min="20" max="20" width="10.44140625" style="45" bestFit="1" customWidth="1"/>
    <col min="21" max="21" width="6.44140625" style="45" bestFit="1" customWidth="1"/>
    <col min="22" max="22" width="13.44140625" style="44" bestFit="1" customWidth="1"/>
    <col min="23" max="23" width="13.33203125" style="44" bestFit="1" customWidth="1"/>
    <col min="24" max="25" width="71.109375" style="44" bestFit="1" customWidth="1"/>
    <col min="26" max="26" width="19.109375" style="44" bestFit="1" customWidth="1"/>
    <col min="27" max="27" width="10.44140625" style="45" bestFit="1" customWidth="1"/>
    <col min="28" max="28" width="7.5546875" style="44" bestFit="1" customWidth="1"/>
    <col min="29" max="29" width="10.33203125" style="44" bestFit="1" customWidth="1"/>
    <col min="30" max="30" width="9.44140625" style="44" bestFit="1" customWidth="1"/>
    <col min="31" max="256" width="9.109375" style="42"/>
    <col min="257" max="257" width="2.109375" style="42" customWidth="1"/>
    <col min="258" max="258" width="1.6640625" style="42" customWidth="1"/>
    <col min="259" max="259" width="25.44140625" style="42" bestFit="1" customWidth="1"/>
    <col min="260" max="260" width="11.44140625" style="42" customWidth="1"/>
    <col min="261" max="261" width="14.109375" style="42" bestFit="1" customWidth="1"/>
    <col min="262" max="262" width="14.33203125" style="42" customWidth="1"/>
    <col min="263" max="263" width="8.44140625" style="42" customWidth="1"/>
    <col min="264" max="264" width="7.6640625" style="42" bestFit="1" customWidth="1"/>
    <col min="265" max="266" width="10.33203125" style="42" customWidth="1"/>
    <col min="267" max="267" width="11" style="42" customWidth="1"/>
    <col min="268" max="268" width="8.33203125" style="42" customWidth="1"/>
    <col min="269" max="269" width="8.88671875" style="42" customWidth="1"/>
    <col min="270" max="270" width="7.109375" style="42" customWidth="1"/>
    <col min="271" max="271" width="8.44140625" style="42" customWidth="1"/>
    <col min="272" max="272" width="8.88671875" style="42" customWidth="1"/>
    <col min="273" max="273" width="9.33203125" style="42" customWidth="1"/>
    <col min="274" max="274" width="8.5546875" style="42" customWidth="1"/>
    <col min="275" max="275" width="10.109375" style="42" bestFit="1" customWidth="1"/>
    <col min="276" max="276" width="10.5546875" style="42" customWidth="1"/>
    <col min="277" max="277" width="6.6640625" style="42" customWidth="1"/>
    <col min="278" max="278" width="8.88671875" style="42" customWidth="1"/>
    <col min="279" max="279" width="0" style="42" hidden="1" customWidth="1"/>
    <col min="280" max="280" width="8.33203125" style="42" customWidth="1"/>
    <col min="281" max="281" width="12" style="42" customWidth="1"/>
    <col min="282" max="282" width="8.33203125" style="42" bestFit="1" customWidth="1"/>
    <col min="283" max="283" width="11" style="42" customWidth="1"/>
    <col min="284" max="284" width="8" style="42" customWidth="1"/>
    <col min="285" max="285" width="9.5546875" style="42" customWidth="1"/>
    <col min="286" max="286" width="8.5546875" style="42" customWidth="1"/>
    <col min="287" max="512" width="9.109375" style="42"/>
    <col min="513" max="513" width="2.109375" style="42" customWidth="1"/>
    <col min="514" max="514" width="1.6640625" style="42" customWidth="1"/>
    <col min="515" max="515" width="25.44140625" style="42" bestFit="1" customWidth="1"/>
    <col min="516" max="516" width="11.44140625" style="42" customWidth="1"/>
    <col min="517" max="517" width="14.109375" style="42" bestFit="1" customWidth="1"/>
    <col min="518" max="518" width="14.33203125" style="42" customWidth="1"/>
    <col min="519" max="519" width="8.44140625" style="42" customWidth="1"/>
    <col min="520" max="520" width="7.6640625" style="42" bestFit="1" customWidth="1"/>
    <col min="521" max="522" width="10.33203125" style="42" customWidth="1"/>
    <col min="523" max="523" width="11" style="42" customWidth="1"/>
    <col min="524" max="524" width="8.33203125" style="42" customWidth="1"/>
    <col min="525" max="525" width="8.88671875" style="42" customWidth="1"/>
    <col min="526" max="526" width="7.109375" style="42" customWidth="1"/>
    <col min="527" max="527" width="8.44140625" style="42" customWidth="1"/>
    <col min="528" max="528" width="8.88671875" style="42" customWidth="1"/>
    <col min="529" max="529" width="9.33203125" style="42" customWidth="1"/>
    <col min="530" max="530" width="8.5546875" style="42" customWidth="1"/>
    <col min="531" max="531" width="10.109375" style="42" bestFit="1" customWidth="1"/>
    <col min="532" max="532" width="10.5546875" style="42" customWidth="1"/>
    <col min="533" max="533" width="6.6640625" style="42" customWidth="1"/>
    <col min="534" max="534" width="8.88671875" style="42" customWidth="1"/>
    <col min="535" max="535" width="0" style="42" hidden="1" customWidth="1"/>
    <col min="536" max="536" width="8.33203125" style="42" customWidth="1"/>
    <col min="537" max="537" width="12" style="42" customWidth="1"/>
    <col min="538" max="538" width="8.33203125" style="42" bestFit="1" customWidth="1"/>
    <col min="539" max="539" width="11" style="42" customWidth="1"/>
    <col min="540" max="540" width="8" style="42" customWidth="1"/>
    <col min="541" max="541" width="9.5546875" style="42" customWidth="1"/>
    <col min="542" max="542" width="8.5546875" style="42" customWidth="1"/>
    <col min="543" max="768" width="9.109375" style="42"/>
    <col min="769" max="769" width="2.109375" style="42" customWidth="1"/>
    <col min="770" max="770" width="1.6640625" style="42" customWidth="1"/>
    <col min="771" max="771" width="25.44140625" style="42" bestFit="1" customWidth="1"/>
    <col min="772" max="772" width="11.44140625" style="42" customWidth="1"/>
    <col min="773" max="773" width="14.109375" style="42" bestFit="1" customWidth="1"/>
    <col min="774" max="774" width="14.33203125" style="42" customWidth="1"/>
    <col min="775" max="775" width="8.44140625" style="42" customWidth="1"/>
    <col min="776" max="776" width="7.6640625" style="42" bestFit="1" customWidth="1"/>
    <col min="777" max="778" width="10.33203125" style="42" customWidth="1"/>
    <col min="779" max="779" width="11" style="42" customWidth="1"/>
    <col min="780" max="780" width="8.33203125" style="42" customWidth="1"/>
    <col min="781" max="781" width="8.88671875" style="42" customWidth="1"/>
    <col min="782" max="782" width="7.109375" style="42" customWidth="1"/>
    <col min="783" max="783" width="8.44140625" style="42" customWidth="1"/>
    <col min="784" max="784" width="8.88671875" style="42" customWidth="1"/>
    <col min="785" max="785" width="9.33203125" style="42" customWidth="1"/>
    <col min="786" max="786" width="8.5546875" style="42" customWidth="1"/>
    <col min="787" max="787" width="10.109375" style="42" bestFit="1" customWidth="1"/>
    <col min="788" max="788" width="10.5546875" style="42" customWidth="1"/>
    <col min="789" max="789" width="6.6640625" style="42" customWidth="1"/>
    <col min="790" max="790" width="8.88671875" style="42" customWidth="1"/>
    <col min="791" max="791" width="0" style="42" hidden="1" customWidth="1"/>
    <col min="792" max="792" width="8.33203125" style="42" customWidth="1"/>
    <col min="793" max="793" width="12" style="42" customWidth="1"/>
    <col min="794" max="794" width="8.33203125" style="42" bestFit="1" customWidth="1"/>
    <col min="795" max="795" width="11" style="42" customWidth="1"/>
    <col min="796" max="796" width="8" style="42" customWidth="1"/>
    <col min="797" max="797" width="9.5546875" style="42" customWidth="1"/>
    <col min="798" max="798" width="8.5546875" style="42" customWidth="1"/>
    <col min="799" max="1024" width="9.109375" style="42"/>
    <col min="1025" max="1025" width="2.109375" style="42" customWidth="1"/>
    <col min="1026" max="1026" width="1.6640625" style="42" customWidth="1"/>
    <col min="1027" max="1027" width="25.44140625" style="42" bestFit="1" customWidth="1"/>
    <col min="1028" max="1028" width="11.44140625" style="42" customWidth="1"/>
    <col min="1029" max="1029" width="14.109375" style="42" bestFit="1" customWidth="1"/>
    <col min="1030" max="1030" width="14.33203125" style="42" customWidth="1"/>
    <col min="1031" max="1031" width="8.44140625" style="42" customWidth="1"/>
    <col min="1032" max="1032" width="7.6640625" style="42" bestFit="1" customWidth="1"/>
    <col min="1033" max="1034" width="10.33203125" style="42" customWidth="1"/>
    <col min="1035" max="1035" width="11" style="42" customWidth="1"/>
    <col min="1036" max="1036" width="8.33203125" style="42" customWidth="1"/>
    <col min="1037" max="1037" width="8.88671875" style="42" customWidth="1"/>
    <col min="1038" max="1038" width="7.109375" style="42" customWidth="1"/>
    <col min="1039" max="1039" width="8.44140625" style="42" customWidth="1"/>
    <col min="1040" max="1040" width="8.88671875" style="42" customWidth="1"/>
    <col min="1041" max="1041" width="9.33203125" style="42" customWidth="1"/>
    <col min="1042" max="1042" width="8.5546875" style="42" customWidth="1"/>
    <col min="1043" max="1043" width="10.109375" style="42" bestFit="1" customWidth="1"/>
    <col min="1044" max="1044" width="10.5546875" style="42" customWidth="1"/>
    <col min="1045" max="1045" width="6.6640625" style="42" customWidth="1"/>
    <col min="1046" max="1046" width="8.88671875" style="42" customWidth="1"/>
    <col min="1047" max="1047" width="0" style="42" hidden="1" customWidth="1"/>
    <col min="1048" max="1048" width="8.33203125" style="42" customWidth="1"/>
    <col min="1049" max="1049" width="12" style="42" customWidth="1"/>
    <col min="1050" max="1050" width="8.33203125" style="42" bestFit="1" customWidth="1"/>
    <col min="1051" max="1051" width="11" style="42" customWidth="1"/>
    <col min="1052" max="1052" width="8" style="42" customWidth="1"/>
    <col min="1053" max="1053" width="9.5546875" style="42" customWidth="1"/>
    <col min="1054" max="1054" width="8.5546875" style="42" customWidth="1"/>
    <col min="1055" max="1280" width="9.109375" style="42"/>
    <col min="1281" max="1281" width="2.109375" style="42" customWidth="1"/>
    <col min="1282" max="1282" width="1.6640625" style="42" customWidth="1"/>
    <col min="1283" max="1283" width="25.44140625" style="42" bestFit="1" customWidth="1"/>
    <col min="1284" max="1284" width="11.44140625" style="42" customWidth="1"/>
    <col min="1285" max="1285" width="14.109375" style="42" bestFit="1" customWidth="1"/>
    <col min="1286" max="1286" width="14.33203125" style="42" customWidth="1"/>
    <col min="1287" max="1287" width="8.44140625" style="42" customWidth="1"/>
    <col min="1288" max="1288" width="7.6640625" style="42" bestFit="1" customWidth="1"/>
    <col min="1289" max="1290" width="10.33203125" style="42" customWidth="1"/>
    <col min="1291" max="1291" width="11" style="42" customWidth="1"/>
    <col min="1292" max="1292" width="8.33203125" style="42" customWidth="1"/>
    <col min="1293" max="1293" width="8.88671875" style="42" customWidth="1"/>
    <col min="1294" max="1294" width="7.109375" style="42" customWidth="1"/>
    <col min="1295" max="1295" width="8.44140625" style="42" customWidth="1"/>
    <col min="1296" max="1296" width="8.88671875" style="42" customWidth="1"/>
    <col min="1297" max="1297" width="9.33203125" style="42" customWidth="1"/>
    <col min="1298" max="1298" width="8.5546875" style="42" customWidth="1"/>
    <col min="1299" max="1299" width="10.109375" style="42" bestFit="1" customWidth="1"/>
    <col min="1300" max="1300" width="10.5546875" style="42" customWidth="1"/>
    <col min="1301" max="1301" width="6.6640625" style="42" customWidth="1"/>
    <col min="1302" max="1302" width="8.88671875" style="42" customWidth="1"/>
    <col min="1303" max="1303" width="0" style="42" hidden="1" customWidth="1"/>
    <col min="1304" max="1304" width="8.33203125" style="42" customWidth="1"/>
    <col min="1305" max="1305" width="12" style="42" customWidth="1"/>
    <col min="1306" max="1306" width="8.33203125" style="42" bestFit="1" customWidth="1"/>
    <col min="1307" max="1307" width="11" style="42" customWidth="1"/>
    <col min="1308" max="1308" width="8" style="42" customWidth="1"/>
    <col min="1309" max="1309" width="9.5546875" style="42" customWidth="1"/>
    <col min="1310" max="1310" width="8.5546875" style="42" customWidth="1"/>
    <col min="1311" max="1536" width="9.109375" style="42"/>
    <col min="1537" max="1537" width="2.109375" style="42" customWidth="1"/>
    <col min="1538" max="1538" width="1.6640625" style="42" customWidth="1"/>
    <col min="1539" max="1539" width="25.44140625" style="42" bestFit="1" customWidth="1"/>
    <col min="1540" max="1540" width="11.44140625" style="42" customWidth="1"/>
    <col min="1541" max="1541" width="14.109375" style="42" bestFit="1" customWidth="1"/>
    <col min="1542" max="1542" width="14.33203125" style="42" customWidth="1"/>
    <col min="1543" max="1543" width="8.44140625" style="42" customWidth="1"/>
    <col min="1544" max="1544" width="7.6640625" style="42" bestFit="1" customWidth="1"/>
    <col min="1545" max="1546" width="10.33203125" style="42" customWidth="1"/>
    <col min="1547" max="1547" width="11" style="42" customWidth="1"/>
    <col min="1548" max="1548" width="8.33203125" style="42" customWidth="1"/>
    <col min="1549" max="1549" width="8.88671875" style="42" customWidth="1"/>
    <col min="1550" max="1550" width="7.109375" style="42" customWidth="1"/>
    <col min="1551" max="1551" width="8.44140625" style="42" customWidth="1"/>
    <col min="1552" max="1552" width="8.88671875" style="42" customWidth="1"/>
    <col min="1553" max="1553" width="9.33203125" style="42" customWidth="1"/>
    <col min="1554" max="1554" width="8.5546875" style="42" customWidth="1"/>
    <col min="1555" max="1555" width="10.109375" style="42" bestFit="1" customWidth="1"/>
    <col min="1556" max="1556" width="10.5546875" style="42" customWidth="1"/>
    <col min="1557" max="1557" width="6.6640625" style="42" customWidth="1"/>
    <col min="1558" max="1558" width="8.88671875" style="42" customWidth="1"/>
    <col min="1559" max="1559" width="0" style="42" hidden="1" customWidth="1"/>
    <col min="1560" max="1560" width="8.33203125" style="42" customWidth="1"/>
    <col min="1561" max="1561" width="12" style="42" customWidth="1"/>
    <col min="1562" max="1562" width="8.33203125" style="42" bestFit="1" customWidth="1"/>
    <col min="1563" max="1563" width="11" style="42" customWidth="1"/>
    <col min="1564" max="1564" width="8" style="42" customWidth="1"/>
    <col min="1565" max="1565" width="9.5546875" style="42" customWidth="1"/>
    <col min="1566" max="1566" width="8.5546875" style="42" customWidth="1"/>
    <col min="1567" max="1792" width="9.109375" style="42"/>
    <col min="1793" max="1793" width="2.109375" style="42" customWidth="1"/>
    <col min="1794" max="1794" width="1.6640625" style="42" customWidth="1"/>
    <col min="1795" max="1795" width="25.44140625" style="42" bestFit="1" customWidth="1"/>
    <col min="1796" max="1796" width="11.44140625" style="42" customWidth="1"/>
    <col min="1797" max="1797" width="14.109375" style="42" bestFit="1" customWidth="1"/>
    <col min="1798" max="1798" width="14.33203125" style="42" customWidth="1"/>
    <col min="1799" max="1799" width="8.44140625" style="42" customWidth="1"/>
    <col min="1800" max="1800" width="7.6640625" style="42" bestFit="1" customWidth="1"/>
    <col min="1801" max="1802" width="10.33203125" style="42" customWidth="1"/>
    <col min="1803" max="1803" width="11" style="42" customWidth="1"/>
    <col min="1804" max="1804" width="8.33203125" style="42" customWidth="1"/>
    <col min="1805" max="1805" width="8.88671875" style="42" customWidth="1"/>
    <col min="1806" max="1806" width="7.109375" style="42" customWidth="1"/>
    <col min="1807" max="1807" width="8.44140625" style="42" customWidth="1"/>
    <col min="1808" max="1808" width="8.88671875" style="42" customWidth="1"/>
    <col min="1809" max="1809" width="9.33203125" style="42" customWidth="1"/>
    <col min="1810" max="1810" width="8.5546875" style="42" customWidth="1"/>
    <col min="1811" max="1811" width="10.109375" style="42" bestFit="1" customWidth="1"/>
    <col min="1812" max="1812" width="10.5546875" style="42" customWidth="1"/>
    <col min="1813" max="1813" width="6.6640625" style="42" customWidth="1"/>
    <col min="1814" max="1814" width="8.88671875" style="42" customWidth="1"/>
    <col min="1815" max="1815" width="0" style="42" hidden="1" customWidth="1"/>
    <col min="1816" max="1816" width="8.33203125" style="42" customWidth="1"/>
    <col min="1817" max="1817" width="12" style="42" customWidth="1"/>
    <col min="1818" max="1818" width="8.33203125" style="42" bestFit="1" customWidth="1"/>
    <col min="1819" max="1819" width="11" style="42" customWidth="1"/>
    <col min="1820" max="1820" width="8" style="42" customWidth="1"/>
    <col min="1821" max="1821" width="9.5546875" style="42" customWidth="1"/>
    <col min="1822" max="1822" width="8.5546875" style="42" customWidth="1"/>
    <col min="1823" max="2048" width="9.109375" style="42"/>
    <col min="2049" max="2049" width="2.109375" style="42" customWidth="1"/>
    <col min="2050" max="2050" width="1.6640625" style="42" customWidth="1"/>
    <col min="2051" max="2051" width="25.44140625" style="42" bestFit="1" customWidth="1"/>
    <col min="2052" max="2052" width="11.44140625" style="42" customWidth="1"/>
    <col min="2053" max="2053" width="14.109375" style="42" bestFit="1" customWidth="1"/>
    <col min="2054" max="2054" width="14.33203125" style="42" customWidth="1"/>
    <col min="2055" max="2055" width="8.44140625" style="42" customWidth="1"/>
    <col min="2056" max="2056" width="7.6640625" style="42" bestFit="1" customWidth="1"/>
    <col min="2057" max="2058" width="10.33203125" style="42" customWidth="1"/>
    <col min="2059" max="2059" width="11" style="42" customWidth="1"/>
    <col min="2060" max="2060" width="8.33203125" style="42" customWidth="1"/>
    <col min="2061" max="2061" width="8.88671875" style="42" customWidth="1"/>
    <col min="2062" max="2062" width="7.109375" style="42" customWidth="1"/>
    <col min="2063" max="2063" width="8.44140625" style="42" customWidth="1"/>
    <col min="2064" max="2064" width="8.88671875" style="42" customWidth="1"/>
    <col min="2065" max="2065" width="9.33203125" style="42" customWidth="1"/>
    <col min="2066" max="2066" width="8.5546875" style="42" customWidth="1"/>
    <col min="2067" max="2067" width="10.109375" style="42" bestFit="1" customWidth="1"/>
    <col min="2068" max="2068" width="10.5546875" style="42" customWidth="1"/>
    <col min="2069" max="2069" width="6.6640625" style="42" customWidth="1"/>
    <col min="2070" max="2070" width="8.88671875" style="42" customWidth="1"/>
    <col min="2071" max="2071" width="0" style="42" hidden="1" customWidth="1"/>
    <col min="2072" max="2072" width="8.33203125" style="42" customWidth="1"/>
    <col min="2073" max="2073" width="12" style="42" customWidth="1"/>
    <col min="2074" max="2074" width="8.33203125" style="42" bestFit="1" customWidth="1"/>
    <col min="2075" max="2075" width="11" style="42" customWidth="1"/>
    <col min="2076" max="2076" width="8" style="42" customWidth="1"/>
    <col min="2077" max="2077" width="9.5546875" style="42" customWidth="1"/>
    <col min="2078" max="2078" width="8.5546875" style="42" customWidth="1"/>
    <col min="2079" max="2304" width="9.109375" style="42"/>
    <col min="2305" max="2305" width="2.109375" style="42" customWidth="1"/>
    <col min="2306" max="2306" width="1.6640625" style="42" customWidth="1"/>
    <col min="2307" max="2307" width="25.44140625" style="42" bestFit="1" customWidth="1"/>
    <col min="2308" max="2308" width="11.44140625" style="42" customWidth="1"/>
    <col min="2309" max="2309" width="14.109375" style="42" bestFit="1" customWidth="1"/>
    <col min="2310" max="2310" width="14.33203125" style="42" customWidth="1"/>
    <col min="2311" max="2311" width="8.44140625" style="42" customWidth="1"/>
    <col min="2312" max="2312" width="7.6640625" style="42" bestFit="1" customWidth="1"/>
    <col min="2313" max="2314" width="10.33203125" style="42" customWidth="1"/>
    <col min="2315" max="2315" width="11" style="42" customWidth="1"/>
    <col min="2316" max="2316" width="8.33203125" style="42" customWidth="1"/>
    <col min="2317" max="2317" width="8.88671875" style="42" customWidth="1"/>
    <col min="2318" max="2318" width="7.109375" style="42" customWidth="1"/>
    <col min="2319" max="2319" width="8.44140625" style="42" customWidth="1"/>
    <col min="2320" max="2320" width="8.88671875" style="42" customWidth="1"/>
    <col min="2321" max="2321" width="9.33203125" style="42" customWidth="1"/>
    <col min="2322" max="2322" width="8.5546875" style="42" customWidth="1"/>
    <col min="2323" max="2323" width="10.109375" style="42" bestFit="1" customWidth="1"/>
    <col min="2324" max="2324" width="10.5546875" style="42" customWidth="1"/>
    <col min="2325" max="2325" width="6.6640625" style="42" customWidth="1"/>
    <col min="2326" max="2326" width="8.88671875" style="42" customWidth="1"/>
    <col min="2327" max="2327" width="0" style="42" hidden="1" customWidth="1"/>
    <col min="2328" max="2328" width="8.33203125" style="42" customWidth="1"/>
    <col min="2329" max="2329" width="12" style="42" customWidth="1"/>
    <col min="2330" max="2330" width="8.33203125" style="42" bestFit="1" customWidth="1"/>
    <col min="2331" max="2331" width="11" style="42" customWidth="1"/>
    <col min="2332" max="2332" width="8" style="42" customWidth="1"/>
    <col min="2333" max="2333" width="9.5546875" style="42" customWidth="1"/>
    <col min="2334" max="2334" width="8.5546875" style="42" customWidth="1"/>
    <col min="2335" max="2560" width="9.109375" style="42"/>
    <col min="2561" max="2561" width="2.109375" style="42" customWidth="1"/>
    <col min="2562" max="2562" width="1.6640625" style="42" customWidth="1"/>
    <col min="2563" max="2563" width="25.44140625" style="42" bestFit="1" customWidth="1"/>
    <col min="2564" max="2564" width="11.44140625" style="42" customWidth="1"/>
    <col min="2565" max="2565" width="14.109375" style="42" bestFit="1" customWidth="1"/>
    <col min="2566" max="2566" width="14.33203125" style="42" customWidth="1"/>
    <col min="2567" max="2567" width="8.44140625" style="42" customWidth="1"/>
    <col min="2568" max="2568" width="7.6640625" style="42" bestFit="1" customWidth="1"/>
    <col min="2569" max="2570" width="10.33203125" style="42" customWidth="1"/>
    <col min="2571" max="2571" width="11" style="42" customWidth="1"/>
    <col min="2572" max="2572" width="8.33203125" style="42" customWidth="1"/>
    <col min="2573" max="2573" width="8.88671875" style="42" customWidth="1"/>
    <col min="2574" max="2574" width="7.109375" style="42" customWidth="1"/>
    <col min="2575" max="2575" width="8.44140625" style="42" customWidth="1"/>
    <col min="2576" max="2576" width="8.88671875" style="42" customWidth="1"/>
    <col min="2577" max="2577" width="9.33203125" style="42" customWidth="1"/>
    <col min="2578" max="2578" width="8.5546875" style="42" customWidth="1"/>
    <col min="2579" max="2579" width="10.109375" style="42" bestFit="1" customWidth="1"/>
    <col min="2580" max="2580" width="10.5546875" style="42" customWidth="1"/>
    <col min="2581" max="2581" width="6.6640625" style="42" customWidth="1"/>
    <col min="2582" max="2582" width="8.88671875" style="42" customWidth="1"/>
    <col min="2583" max="2583" width="0" style="42" hidden="1" customWidth="1"/>
    <col min="2584" max="2584" width="8.33203125" style="42" customWidth="1"/>
    <col min="2585" max="2585" width="12" style="42" customWidth="1"/>
    <col min="2586" max="2586" width="8.33203125" style="42" bestFit="1" customWidth="1"/>
    <col min="2587" max="2587" width="11" style="42" customWidth="1"/>
    <col min="2588" max="2588" width="8" style="42" customWidth="1"/>
    <col min="2589" max="2589" width="9.5546875" style="42" customWidth="1"/>
    <col min="2590" max="2590" width="8.5546875" style="42" customWidth="1"/>
    <col min="2591" max="2816" width="9.109375" style="42"/>
    <col min="2817" max="2817" width="2.109375" style="42" customWidth="1"/>
    <col min="2818" max="2818" width="1.6640625" style="42" customWidth="1"/>
    <col min="2819" max="2819" width="25.44140625" style="42" bestFit="1" customWidth="1"/>
    <col min="2820" max="2820" width="11.44140625" style="42" customWidth="1"/>
    <col min="2821" max="2821" width="14.109375" style="42" bestFit="1" customWidth="1"/>
    <col min="2822" max="2822" width="14.33203125" style="42" customWidth="1"/>
    <col min="2823" max="2823" width="8.44140625" style="42" customWidth="1"/>
    <col min="2824" max="2824" width="7.6640625" style="42" bestFit="1" customWidth="1"/>
    <col min="2825" max="2826" width="10.33203125" style="42" customWidth="1"/>
    <col min="2827" max="2827" width="11" style="42" customWidth="1"/>
    <col min="2828" max="2828" width="8.33203125" style="42" customWidth="1"/>
    <col min="2829" max="2829" width="8.88671875" style="42" customWidth="1"/>
    <col min="2830" max="2830" width="7.109375" style="42" customWidth="1"/>
    <col min="2831" max="2831" width="8.44140625" style="42" customWidth="1"/>
    <col min="2832" max="2832" width="8.88671875" style="42" customWidth="1"/>
    <col min="2833" max="2833" width="9.33203125" style="42" customWidth="1"/>
    <col min="2834" max="2834" width="8.5546875" style="42" customWidth="1"/>
    <col min="2835" max="2835" width="10.109375" style="42" bestFit="1" customWidth="1"/>
    <col min="2836" max="2836" width="10.5546875" style="42" customWidth="1"/>
    <col min="2837" max="2837" width="6.6640625" style="42" customWidth="1"/>
    <col min="2838" max="2838" width="8.88671875" style="42" customWidth="1"/>
    <col min="2839" max="2839" width="0" style="42" hidden="1" customWidth="1"/>
    <col min="2840" max="2840" width="8.33203125" style="42" customWidth="1"/>
    <col min="2841" max="2841" width="12" style="42" customWidth="1"/>
    <col min="2842" max="2842" width="8.33203125" style="42" bestFit="1" customWidth="1"/>
    <col min="2843" max="2843" width="11" style="42" customWidth="1"/>
    <col min="2844" max="2844" width="8" style="42" customWidth="1"/>
    <col min="2845" max="2845" width="9.5546875" style="42" customWidth="1"/>
    <col min="2846" max="2846" width="8.5546875" style="42" customWidth="1"/>
    <col min="2847" max="3072" width="9.109375" style="42"/>
    <col min="3073" max="3073" width="2.109375" style="42" customWidth="1"/>
    <col min="3074" max="3074" width="1.6640625" style="42" customWidth="1"/>
    <col min="3075" max="3075" width="25.44140625" style="42" bestFit="1" customWidth="1"/>
    <col min="3076" max="3076" width="11.44140625" style="42" customWidth="1"/>
    <col min="3077" max="3077" width="14.109375" style="42" bestFit="1" customWidth="1"/>
    <col min="3078" max="3078" width="14.33203125" style="42" customWidth="1"/>
    <col min="3079" max="3079" width="8.44140625" style="42" customWidth="1"/>
    <col min="3080" max="3080" width="7.6640625" style="42" bestFit="1" customWidth="1"/>
    <col min="3081" max="3082" width="10.33203125" style="42" customWidth="1"/>
    <col min="3083" max="3083" width="11" style="42" customWidth="1"/>
    <col min="3084" max="3084" width="8.33203125" style="42" customWidth="1"/>
    <col min="3085" max="3085" width="8.88671875" style="42" customWidth="1"/>
    <col min="3086" max="3086" width="7.109375" style="42" customWidth="1"/>
    <col min="3087" max="3087" width="8.44140625" style="42" customWidth="1"/>
    <col min="3088" max="3088" width="8.88671875" style="42" customWidth="1"/>
    <col min="3089" max="3089" width="9.33203125" style="42" customWidth="1"/>
    <col min="3090" max="3090" width="8.5546875" style="42" customWidth="1"/>
    <col min="3091" max="3091" width="10.109375" style="42" bestFit="1" customWidth="1"/>
    <col min="3092" max="3092" width="10.5546875" style="42" customWidth="1"/>
    <col min="3093" max="3093" width="6.6640625" style="42" customWidth="1"/>
    <col min="3094" max="3094" width="8.88671875" style="42" customWidth="1"/>
    <col min="3095" max="3095" width="0" style="42" hidden="1" customWidth="1"/>
    <col min="3096" max="3096" width="8.33203125" style="42" customWidth="1"/>
    <col min="3097" max="3097" width="12" style="42" customWidth="1"/>
    <col min="3098" max="3098" width="8.33203125" style="42" bestFit="1" customWidth="1"/>
    <col min="3099" max="3099" width="11" style="42" customWidth="1"/>
    <col min="3100" max="3100" width="8" style="42" customWidth="1"/>
    <col min="3101" max="3101" width="9.5546875" style="42" customWidth="1"/>
    <col min="3102" max="3102" width="8.5546875" style="42" customWidth="1"/>
    <col min="3103" max="3328" width="9.109375" style="42"/>
    <col min="3329" max="3329" width="2.109375" style="42" customWidth="1"/>
    <col min="3330" max="3330" width="1.6640625" style="42" customWidth="1"/>
    <col min="3331" max="3331" width="25.44140625" style="42" bestFit="1" customWidth="1"/>
    <col min="3332" max="3332" width="11.44140625" style="42" customWidth="1"/>
    <col min="3333" max="3333" width="14.109375" style="42" bestFit="1" customWidth="1"/>
    <col min="3334" max="3334" width="14.33203125" style="42" customWidth="1"/>
    <col min="3335" max="3335" width="8.44140625" style="42" customWidth="1"/>
    <col min="3336" max="3336" width="7.6640625" style="42" bestFit="1" customWidth="1"/>
    <col min="3337" max="3338" width="10.33203125" style="42" customWidth="1"/>
    <col min="3339" max="3339" width="11" style="42" customWidth="1"/>
    <col min="3340" max="3340" width="8.33203125" style="42" customWidth="1"/>
    <col min="3341" max="3341" width="8.88671875" style="42" customWidth="1"/>
    <col min="3342" max="3342" width="7.109375" style="42" customWidth="1"/>
    <col min="3343" max="3343" width="8.44140625" style="42" customWidth="1"/>
    <col min="3344" max="3344" width="8.88671875" style="42" customWidth="1"/>
    <col min="3345" max="3345" width="9.33203125" style="42" customWidth="1"/>
    <col min="3346" max="3346" width="8.5546875" style="42" customWidth="1"/>
    <col min="3347" max="3347" width="10.109375" style="42" bestFit="1" customWidth="1"/>
    <col min="3348" max="3348" width="10.5546875" style="42" customWidth="1"/>
    <col min="3349" max="3349" width="6.6640625" style="42" customWidth="1"/>
    <col min="3350" max="3350" width="8.88671875" style="42" customWidth="1"/>
    <col min="3351" max="3351" width="0" style="42" hidden="1" customWidth="1"/>
    <col min="3352" max="3352" width="8.33203125" style="42" customWidth="1"/>
    <col min="3353" max="3353" width="12" style="42" customWidth="1"/>
    <col min="3354" max="3354" width="8.33203125" style="42" bestFit="1" customWidth="1"/>
    <col min="3355" max="3355" width="11" style="42" customWidth="1"/>
    <col min="3356" max="3356" width="8" style="42" customWidth="1"/>
    <col min="3357" max="3357" width="9.5546875" style="42" customWidth="1"/>
    <col min="3358" max="3358" width="8.5546875" style="42" customWidth="1"/>
    <col min="3359" max="3584" width="9.109375" style="42"/>
    <col min="3585" max="3585" width="2.109375" style="42" customWidth="1"/>
    <col min="3586" max="3586" width="1.6640625" style="42" customWidth="1"/>
    <col min="3587" max="3587" width="25.44140625" style="42" bestFit="1" customWidth="1"/>
    <col min="3588" max="3588" width="11.44140625" style="42" customWidth="1"/>
    <col min="3589" max="3589" width="14.109375" style="42" bestFit="1" customWidth="1"/>
    <col min="3590" max="3590" width="14.33203125" style="42" customWidth="1"/>
    <col min="3591" max="3591" width="8.44140625" style="42" customWidth="1"/>
    <col min="3592" max="3592" width="7.6640625" style="42" bestFit="1" customWidth="1"/>
    <col min="3593" max="3594" width="10.33203125" style="42" customWidth="1"/>
    <col min="3595" max="3595" width="11" style="42" customWidth="1"/>
    <col min="3596" max="3596" width="8.33203125" style="42" customWidth="1"/>
    <col min="3597" max="3597" width="8.88671875" style="42" customWidth="1"/>
    <col min="3598" max="3598" width="7.109375" style="42" customWidth="1"/>
    <col min="3599" max="3599" width="8.44140625" style="42" customWidth="1"/>
    <col min="3600" max="3600" width="8.88671875" style="42" customWidth="1"/>
    <col min="3601" max="3601" width="9.33203125" style="42" customWidth="1"/>
    <col min="3602" max="3602" width="8.5546875" style="42" customWidth="1"/>
    <col min="3603" max="3603" width="10.109375" style="42" bestFit="1" customWidth="1"/>
    <col min="3604" max="3604" width="10.5546875" style="42" customWidth="1"/>
    <col min="3605" max="3605" width="6.6640625" style="42" customWidth="1"/>
    <col min="3606" max="3606" width="8.88671875" style="42" customWidth="1"/>
    <col min="3607" max="3607" width="0" style="42" hidden="1" customWidth="1"/>
    <col min="3608" max="3608" width="8.33203125" style="42" customWidth="1"/>
    <col min="3609" max="3609" width="12" style="42" customWidth="1"/>
    <col min="3610" max="3610" width="8.33203125" style="42" bestFit="1" customWidth="1"/>
    <col min="3611" max="3611" width="11" style="42" customWidth="1"/>
    <col min="3612" max="3612" width="8" style="42" customWidth="1"/>
    <col min="3613" max="3613" width="9.5546875" style="42" customWidth="1"/>
    <col min="3614" max="3614" width="8.5546875" style="42" customWidth="1"/>
    <col min="3615" max="3840" width="9.109375" style="42"/>
    <col min="3841" max="3841" width="2.109375" style="42" customWidth="1"/>
    <col min="3842" max="3842" width="1.6640625" style="42" customWidth="1"/>
    <col min="3843" max="3843" width="25.44140625" style="42" bestFit="1" customWidth="1"/>
    <col min="3844" max="3844" width="11.44140625" style="42" customWidth="1"/>
    <col min="3845" max="3845" width="14.109375" style="42" bestFit="1" customWidth="1"/>
    <col min="3846" max="3846" width="14.33203125" style="42" customWidth="1"/>
    <col min="3847" max="3847" width="8.44140625" style="42" customWidth="1"/>
    <col min="3848" max="3848" width="7.6640625" style="42" bestFit="1" customWidth="1"/>
    <col min="3849" max="3850" width="10.33203125" style="42" customWidth="1"/>
    <col min="3851" max="3851" width="11" style="42" customWidth="1"/>
    <col min="3852" max="3852" width="8.33203125" style="42" customWidth="1"/>
    <col min="3853" max="3853" width="8.88671875" style="42" customWidth="1"/>
    <col min="3854" max="3854" width="7.109375" style="42" customWidth="1"/>
    <col min="3855" max="3855" width="8.44140625" style="42" customWidth="1"/>
    <col min="3856" max="3856" width="8.88671875" style="42" customWidth="1"/>
    <col min="3857" max="3857" width="9.33203125" style="42" customWidth="1"/>
    <col min="3858" max="3858" width="8.5546875" style="42" customWidth="1"/>
    <col min="3859" max="3859" width="10.109375" style="42" bestFit="1" customWidth="1"/>
    <col min="3860" max="3860" width="10.5546875" style="42" customWidth="1"/>
    <col min="3861" max="3861" width="6.6640625" style="42" customWidth="1"/>
    <col min="3862" max="3862" width="8.88671875" style="42" customWidth="1"/>
    <col min="3863" max="3863" width="0" style="42" hidden="1" customWidth="1"/>
    <col min="3864" max="3864" width="8.33203125" style="42" customWidth="1"/>
    <col min="3865" max="3865" width="12" style="42" customWidth="1"/>
    <col min="3866" max="3866" width="8.33203125" style="42" bestFit="1" customWidth="1"/>
    <col min="3867" max="3867" width="11" style="42" customWidth="1"/>
    <col min="3868" max="3868" width="8" style="42" customWidth="1"/>
    <col min="3869" max="3869" width="9.5546875" style="42" customWidth="1"/>
    <col min="3870" max="3870" width="8.5546875" style="42" customWidth="1"/>
    <col min="3871" max="4096" width="9.109375" style="42"/>
    <col min="4097" max="4097" width="2.109375" style="42" customWidth="1"/>
    <col min="4098" max="4098" width="1.6640625" style="42" customWidth="1"/>
    <col min="4099" max="4099" width="25.44140625" style="42" bestFit="1" customWidth="1"/>
    <col min="4100" max="4100" width="11.44140625" style="42" customWidth="1"/>
    <col min="4101" max="4101" width="14.109375" style="42" bestFit="1" customWidth="1"/>
    <col min="4102" max="4102" width="14.33203125" style="42" customWidth="1"/>
    <col min="4103" max="4103" width="8.44140625" style="42" customWidth="1"/>
    <col min="4104" max="4104" width="7.6640625" style="42" bestFit="1" customWidth="1"/>
    <col min="4105" max="4106" width="10.33203125" style="42" customWidth="1"/>
    <col min="4107" max="4107" width="11" style="42" customWidth="1"/>
    <col min="4108" max="4108" width="8.33203125" style="42" customWidth="1"/>
    <col min="4109" max="4109" width="8.88671875" style="42" customWidth="1"/>
    <col min="4110" max="4110" width="7.109375" style="42" customWidth="1"/>
    <col min="4111" max="4111" width="8.44140625" style="42" customWidth="1"/>
    <col min="4112" max="4112" width="8.88671875" style="42" customWidth="1"/>
    <col min="4113" max="4113" width="9.33203125" style="42" customWidth="1"/>
    <col min="4114" max="4114" width="8.5546875" style="42" customWidth="1"/>
    <col min="4115" max="4115" width="10.109375" style="42" bestFit="1" customWidth="1"/>
    <col min="4116" max="4116" width="10.5546875" style="42" customWidth="1"/>
    <col min="4117" max="4117" width="6.6640625" style="42" customWidth="1"/>
    <col min="4118" max="4118" width="8.88671875" style="42" customWidth="1"/>
    <col min="4119" max="4119" width="0" style="42" hidden="1" customWidth="1"/>
    <col min="4120" max="4120" width="8.33203125" style="42" customWidth="1"/>
    <col min="4121" max="4121" width="12" style="42" customWidth="1"/>
    <col min="4122" max="4122" width="8.33203125" style="42" bestFit="1" customWidth="1"/>
    <col min="4123" max="4123" width="11" style="42" customWidth="1"/>
    <col min="4124" max="4124" width="8" style="42" customWidth="1"/>
    <col min="4125" max="4125" width="9.5546875" style="42" customWidth="1"/>
    <col min="4126" max="4126" width="8.5546875" style="42" customWidth="1"/>
    <col min="4127" max="4352" width="9.109375" style="42"/>
    <col min="4353" max="4353" width="2.109375" style="42" customWidth="1"/>
    <col min="4354" max="4354" width="1.6640625" style="42" customWidth="1"/>
    <col min="4355" max="4355" width="25.44140625" style="42" bestFit="1" customWidth="1"/>
    <col min="4356" max="4356" width="11.44140625" style="42" customWidth="1"/>
    <col min="4357" max="4357" width="14.109375" style="42" bestFit="1" customWidth="1"/>
    <col min="4358" max="4358" width="14.33203125" style="42" customWidth="1"/>
    <col min="4359" max="4359" width="8.44140625" style="42" customWidth="1"/>
    <col min="4360" max="4360" width="7.6640625" style="42" bestFit="1" customWidth="1"/>
    <col min="4361" max="4362" width="10.33203125" style="42" customWidth="1"/>
    <col min="4363" max="4363" width="11" style="42" customWidth="1"/>
    <col min="4364" max="4364" width="8.33203125" style="42" customWidth="1"/>
    <col min="4365" max="4365" width="8.88671875" style="42" customWidth="1"/>
    <col min="4366" max="4366" width="7.109375" style="42" customWidth="1"/>
    <col min="4367" max="4367" width="8.44140625" style="42" customWidth="1"/>
    <col min="4368" max="4368" width="8.88671875" style="42" customWidth="1"/>
    <col min="4369" max="4369" width="9.33203125" style="42" customWidth="1"/>
    <col min="4370" max="4370" width="8.5546875" style="42" customWidth="1"/>
    <col min="4371" max="4371" width="10.109375" style="42" bestFit="1" customWidth="1"/>
    <col min="4372" max="4372" width="10.5546875" style="42" customWidth="1"/>
    <col min="4373" max="4373" width="6.6640625" style="42" customWidth="1"/>
    <col min="4374" max="4374" width="8.88671875" style="42" customWidth="1"/>
    <col min="4375" max="4375" width="0" style="42" hidden="1" customWidth="1"/>
    <col min="4376" max="4376" width="8.33203125" style="42" customWidth="1"/>
    <col min="4377" max="4377" width="12" style="42" customWidth="1"/>
    <col min="4378" max="4378" width="8.33203125" style="42" bestFit="1" customWidth="1"/>
    <col min="4379" max="4379" width="11" style="42" customWidth="1"/>
    <col min="4380" max="4380" width="8" style="42" customWidth="1"/>
    <col min="4381" max="4381" width="9.5546875" style="42" customWidth="1"/>
    <col min="4382" max="4382" width="8.5546875" style="42" customWidth="1"/>
    <col min="4383" max="4608" width="9.109375" style="42"/>
    <col min="4609" max="4609" width="2.109375" style="42" customWidth="1"/>
    <col min="4610" max="4610" width="1.6640625" style="42" customWidth="1"/>
    <col min="4611" max="4611" width="25.44140625" style="42" bestFit="1" customWidth="1"/>
    <col min="4612" max="4612" width="11.44140625" style="42" customWidth="1"/>
    <col min="4613" max="4613" width="14.109375" style="42" bestFit="1" customWidth="1"/>
    <col min="4614" max="4614" width="14.33203125" style="42" customWidth="1"/>
    <col min="4615" max="4615" width="8.44140625" style="42" customWidth="1"/>
    <col min="4616" max="4616" width="7.6640625" style="42" bestFit="1" customWidth="1"/>
    <col min="4617" max="4618" width="10.33203125" style="42" customWidth="1"/>
    <col min="4619" max="4619" width="11" style="42" customWidth="1"/>
    <col min="4620" max="4620" width="8.33203125" style="42" customWidth="1"/>
    <col min="4621" max="4621" width="8.88671875" style="42" customWidth="1"/>
    <col min="4622" max="4622" width="7.109375" style="42" customWidth="1"/>
    <col min="4623" max="4623" width="8.44140625" style="42" customWidth="1"/>
    <col min="4624" max="4624" width="8.88671875" style="42" customWidth="1"/>
    <col min="4625" max="4625" width="9.33203125" style="42" customWidth="1"/>
    <col min="4626" max="4626" width="8.5546875" style="42" customWidth="1"/>
    <col min="4627" max="4627" width="10.109375" style="42" bestFit="1" customWidth="1"/>
    <col min="4628" max="4628" width="10.5546875" style="42" customWidth="1"/>
    <col min="4629" max="4629" width="6.6640625" style="42" customWidth="1"/>
    <col min="4630" max="4630" width="8.88671875" style="42" customWidth="1"/>
    <col min="4631" max="4631" width="0" style="42" hidden="1" customWidth="1"/>
    <col min="4632" max="4632" width="8.33203125" style="42" customWidth="1"/>
    <col min="4633" max="4633" width="12" style="42" customWidth="1"/>
    <col min="4634" max="4634" width="8.33203125" style="42" bestFit="1" customWidth="1"/>
    <col min="4635" max="4635" width="11" style="42" customWidth="1"/>
    <col min="4636" max="4636" width="8" style="42" customWidth="1"/>
    <col min="4637" max="4637" width="9.5546875" style="42" customWidth="1"/>
    <col min="4638" max="4638" width="8.5546875" style="42" customWidth="1"/>
    <col min="4639" max="4864" width="9.109375" style="42"/>
    <col min="4865" max="4865" width="2.109375" style="42" customWidth="1"/>
    <col min="4866" max="4866" width="1.6640625" style="42" customWidth="1"/>
    <col min="4867" max="4867" width="25.44140625" style="42" bestFit="1" customWidth="1"/>
    <col min="4868" max="4868" width="11.44140625" style="42" customWidth="1"/>
    <col min="4869" max="4869" width="14.109375" style="42" bestFit="1" customWidth="1"/>
    <col min="4870" max="4870" width="14.33203125" style="42" customWidth="1"/>
    <col min="4871" max="4871" width="8.44140625" style="42" customWidth="1"/>
    <col min="4872" max="4872" width="7.6640625" style="42" bestFit="1" customWidth="1"/>
    <col min="4873" max="4874" width="10.33203125" style="42" customWidth="1"/>
    <col min="4875" max="4875" width="11" style="42" customWidth="1"/>
    <col min="4876" max="4876" width="8.33203125" style="42" customWidth="1"/>
    <col min="4877" max="4877" width="8.88671875" style="42" customWidth="1"/>
    <col min="4878" max="4878" width="7.109375" style="42" customWidth="1"/>
    <col min="4879" max="4879" width="8.44140625" style="42" customWidth="1"/>
    <col min="4880" max="4880" width="8.88671875" style="42" customWidth="1"/>
    <col min="4881" max="4881" width="9.33203125" style="42" customWidth="1"/>
    <col min="4882" max="4882" width="8.5546875" style="42" customWidth="1"/>
    <col min="4883" max="4883" width="10.109375" style="42" bestFit="1" customWidth="1"/>
    <col min="4884" max="4884" width="10.5546875" style="42" customWidth="1"/>
    <col min="4885" max="4885" width="6.6640625" style="42" customWidth="1"/>
    <col min="4886" max="4886" width="8.88671875" style="42" customWidth="1"/>
    <col min="4887" max="4887" width="0" style="42" hidden="1" customWidth="1"/>
    <col min="4888" max="4888" width="8.33203125" style="42" customWidth="1"/>
    <col min="4889" max="4889" width="12" style="42" customWidth="1"/>
    <col min="4890" max="4890" width="8.33203125" style="42" bestFit="1" customWidth="1"/>
    <col min="4891" max="4891" width="11" style="42" customWidth="1"/>
    <col min="4892" max="4892" width="8" style="42" customWidth="1"/>
    <col min="4893" max="4893" width="9.5546875" style="42" customWidth="1"/>
    <col min="4894" max="4894" width="8.5546875" style="42" customWidth="1"/>
    <col min="4895" max="5120" width="9.109375" style="42"/>
    <col min="5121" max="5121" width="2.109375" style="42" customWidth="1"/>
    <col min="5122" max="5122" width="1.6640625" style="42" customWidth="1"/>
    <col min="5123" max="5123" width="25.44140625" style="42" bestFit="1" customWidth="1"/>
    <col min="5124" max="5124" width="11.44140625" style="42" customWidth="1"/>
    <col min="5125" max="5125" width="14.109375" style="42" bestFit="1" customWidth="1"/>
    <col min="5126" max="5126" width="14.33203125" style="42" customWidth="1"/>
    <col min="5127" max="5127" width="8.44140625" style="42" customWidth="1"/>
    <col min="5128" max="5128" width="7.6640625" style="42" bestFit="1" customWidth="1"/>
    <col min="5129" max="5130" width="10.33203125" style="42" customWidth="1"/>
    <col min="5131" max="5131" width="11" style="42" customWidth="1"/>
    <col min="5132" max="5132" width="8.33203125" style="42" customWidth="1"/>
    <col min="5133" max="5133" width="8.88671875" style="42" customWidth="1"/>
    <col min="5134" max="5134" width="7.109375" style="42" customWidth="1"/>
    <col min="5135" max="5135" width="8.44140625" style="42" customWidth="1"/>
    <col min="5136" max="5136" width="8.88671875" style="42" customWidth="1"/>
    <col min="5137" max="5137" width="9.33203125" style="42" customWidth="1"/>
    <col min="5138" max="5138" width="8.5546875" style="42" customWidth="1"/>
    <col min="5139" max="5139" width="10.109375" style="42" bestFit="1" customWidth="1"/>
    <col min="5140" max="5140" width="10.5546875" style="42" customWidth="1"/>
    <col min="5141" max="5141" width="6.6640625" style="42" customWidth="1"/>
    <col min="5142" max="5142" width="8.88671875" style="42" customWidth="1"/>
    <col min="5143" max="5143" width="0" style="42" hidden="1" customWidth="1"/>
    <col min="5144" max="5144" width="8.33203125" style="42" customWidth="1"/>
    <col min="5145" max="5145" width="12" style="42" customWidth="1"/>
    <col min="5146" max="5146" width="8.33203125" style="42" bestFit="1" customWidth="1"/>
    <col min="5147" max="5147" width="11" style="42" customWidth="1"/>
    <col min="5148" max="5148" width="8" style="42" customWidth="1"/>
    <col min="5149" max="5149" width="9.5546875" style="42" customWidth="1"/>
    <col min="5150" max="5150" width="8.5546875" style="42" customWidth="1"/>
    <col min="5151" max="5376" width="9.109375" style="42"/>
    <col min="5377" max="5377" width="2.109375" style="42" customWidth="1"/>
    <col min="5378" max="5378" width="1.6640625" style="42" customWidth="1"/>
    <col min="5379" max="5379" width="25.44140625" style="42" bestFit="1" customWidth="1"/>
    <col min="5380" max="5380" width="11.44140625" style="42" customWidth="1"/>
    <col min="5381" max="5381" width="14.109375" style="42" bestFit="1" customWidth="1"/>
    <col min="5382" max="5382" width="14.33203125" style="42" customWidth="1"/>
    <col min="5383" max="5383" width="8.44140625" style="42" customWidth="1"/>
    <col min="5384" max="5384" width="7.6640625" style="42" bestFit="1" customWidth="1"/>
    <col min="5385" max="5386" width="10.33203125" style="42" customWidth="1"/>
    <col min="5387" max="5387" width="11" style="42" customWidth="1"/>
    <col min="5388" max="5388" width="8.33203125" style="42" customWidth="1"/>
    <col min="5389" max="5389" width="8.88671875" style="42" customWidth="1"/>
    <col min="5390" max="5390" width="7.109375" style="42" customWidth="1"/>
    <col min="5391" max="5391" width="8.44140625" style="42" customWidth="1"/>
    <col min="5392" max="5392" width="8.88671875" style="42" customWidth="1"/>
    <col min="5393" max="5393" width="9.33203125" style="42" customWidth="1"/>
    <col min="5394" max="5394" width="8.5546875" style="42" customWidth="1"/>
    <col min="5395" max="5395" width="10.109375" style="42" bestFit="1" customWidth="1"/>
    <col min="5396" max="5396" width="10.5546875" style="42" customWidth="1"/>
    <col min="5397" max="5397" width="6.6640625" style="42" customWidth="1"/>
    <col min="5398" max="5398" width="8.88671875" style="42" customWidth="1"/>
    <col min="5399" max="5399" width="0" style="42" hidden="1" customWidth="1"/>
    <col min="5400" max="5400" width="8.33203125" style="42" customWidth="1"/>
    <col min="5401" max="5401" width="12" style="42" customWidth="1"/>
    <col min="5402" max="5402" width="8.33203125" style="42" bestFit="1" customWidth="1"/>
    <col min="5403" max="5403" width="11" style="42" customWidth="1"/>
    <col min="5404" max="5404" width="8" style="42" customWidth="1"/>
    <col min="5405" max="5405" width="9.5546875" style="42" customWidth="1"/>
    <col min="5406" max="5406" width="8.5546875" style="42" customWidth="1"/>
    <col min="5407" max="5632" width="9.109375" style="42"/>
    <col min="5633" max="5633" width="2.109375" style="42" customWidth="1"/>
    <col min="5634" max="5634" width="1.6640625" style="42" customWidth="1"/>
    <col min="5635" max="5635" width="25.44140625" style="42" bestFit="1" customWidth="1"/>
    <col min="5636" max="5636" width="11.44140625" style="42" customWidth="1"/>
    <col min="5637" max="5637" width="14.109375" style="42" bestFit="1" customWidth="1"/>
    <col min="5638" max="5638" width="14.33203125" style="42" customWidth="1"/>
    <col min="5639" max="5639" width="8.44140625" style="42" customWidth="1"/>
    <col min="5640" max="5640" width="7.6640625" style="42" bestFit="1" customWidth="1"/>
    <col min="5641" max="5642" width="10.33203125" style="42" customWidth="1"/>
    <col min="5643" max="5643" width="11" style="42" customWidth="1"/>
    <col min="5644" max="5644" width="8.33203125" style="42" customWidth="1"/>
    <col min="5645" max="5645" width="8.88671875" style="42" customWidth="1"/>
    <col min="5646" max="5646" width="7.109375" style="42" customWidth="1"/>
    <col min="5647" max="5647" width="8.44140625" style="42" customWidth="1"/>
    <col min="5648" max="5648" width="8.88671875" style="42" customWidth="1"/>
    <col min="5649" max="5649" width="9.33203125" style="42" customWidth="1"/>
    <col min="5650" max="5650" width="8.5546875" style="42" customWidth="1"/>
    <col min="5651" max="5651" width="10.109375" style="42" bestFit="1" customWidth="1"/>
    <col min="5652" max="5652" width="10.5546875" style="42" customWidth="1"/>
    <col min="5653" max="5653" width="6.6640625" style="42" customWidth="1"/>
    <col min="5654" max="5654" width="8.88671875" style="42" customWidth="1"/>
    <col min="5655" max="5655" width="0" style="42" hidden="1" customWidth="1"/>
    <col min="5656" max="5656" width="8.33203125" style="42" customWidth="1"/>
    <col min="5657" max="5657" width="12" style="42" customWidth="1"/>
    <col min="5658" max="5658" width="8.33203125" style="42" bestFit="1" customWidth="1"/>
    <col min="5659" max="5659" width="11" style="42" customWidth="1"/>
    <col min="5660" max="5660" width="8" style="42" customWidth="1"/>
    <col min="5661" max="5661" width="9.5546875" style="42" customWidth="1"/>
    <col min="5662" max="5662" width="8.5546875" style="42" customWidth="1"/>
    <col min="5663" max="5888" width="9.109375" style="42"/>
    <col min="5889" max="5889" width="2.109375" style="42" customWidth="1"/>
    <col min="5890" max="5890" width="1.6640625" style="42" customWidth="1"/>
    <col min="5891" max="5891" width="25.44140625" style="42" bestFit="1" customWidth="1"/>
    <col min="5892" max="5892" width="11.44140625" style="42" customWidth="1"/>
    <col min="5893" max="5893" width="14.109375" style="42" bestFit="1" customWidth="1"/>
    <col min="5894" max="5894" width="14.33203125" style="42" customWidth="1"/>
    <col min="5895" max="5895" width="8.44140625" style="42" customWidth="1"/>
    <col min="5896" max="5896" width="7.6640625" style="42" bestFit="1" customWidth="1"/>
    <col min="5897" max="5898" width="10.33203125" style="42" customWidth="1"/>
    <col min="5899" max="5899" width="11" style="42" customWidth="1"/>
    <col min="5900" max="5900" width="8.33203125" style="42" customWidth="1"/>
    <col min="5901" max="5901" width="8.88671875" style="42" customWidth="1"/>
    <col min="5902" max="5902" width="7.109375" style="42" customWidth="1"/>
    <col min="5903" max="5903" width="8.44140625" style="42" customWidth="1"/>
    <col min="5904" max="5904" width="8.88671875" style="42" customWidth="1"/>
    <col min="5905" max="5905" width="9.33203125" style="42" customWidth="1"/>
    <col min="5906" max="5906" width="8.5546875" style="42" customWidth="1"/>
    <col min="5907" max="5907" width="10.109375" style="42" bestFit="1" customWidth="1"/>
    <col min="5908" max="5908" width="10.5546875" style="42" customWidth="1"/>
    <col min="5909" max="5909" width="6.6640625" style="42" customWidth="1"/>
    <col min="5910" max="5910" width="8.88671875" style="42" customWidth="1"/>
    <col min="5911" max="5911" width="0" style="42" hidden="1" customWidth="1"/>
    <col min="5912" max="5912" width="8.33203125" style="42" customWidth="1"/>
    <col min="5913" max="5913" width="12" style="42" customWidth="1"/>
    <col min="5914" max="5914" width="8.33203125" style="42" bestFit="1" customWidth="1"/>
    <col min="5915" max="5915" width="11" style="42" customWidth="1"/>
    <col min="5916" max="5916" width="8" style="42" customWidth="1"/>
    <col min="5917" max="5917" width="9.5546875" style="42" customWidth="1"/>
    <col min="5918" max="5918" width="8.5546875" style="42" customWidth="1"/>
    <col min="5919" max="6144" width="9.109375" style="42"/>
    <col min="6145" max="6145" width="2.109375" style="42" customWidth="1"/>
    <col min="6146" max="6146" width="1.6640625" style="42" customWidth="1"/>
    <col min="6147" max="6147" width="25.44140625" style="42" bestFit="1" customWidth="1"/>
    <col min="6148" max="6148" width="11.44140625" style="42" customWidth="1"/>
    <col min="6149" max="6149" width="14.109375" style="42" bestFit="1" customWidth="1"/>
    <col min="6150" max="6150" width="14.33203125" style="42" customWidth="1"/>
    <col min="6151" max="6151" width="8.44140625" style="42" customWidth="1"/>
    <col min="6152" max="6152" width="7.6640625" style="42" bestFit="1" customWidth="1"/>
    <col min="6153" max="6154" width="10.33203125" style="42" customWidth="1"/>
    <col min="6155" max="6155" width="11" style="42" customWidth="1"/>
    <col min="6156" max="6156" width="8.33203125" style="42" customWidth="1"/>
    <col min="6157" max="6157" width="8.88671875" style="42" customWidth="1"/>
    <col min="6158" max="6158" width="7.109375" style="42" customWidth="1"/>
    <col min="6159" max="6159" width="8.44140625" style="42" customWidth="1"/>
    <col min="6160" max="6160" width="8.88671875" style="42" customWidth="1"/>
    <col min="6161" max="6161" width="9.33203125" style="42" customWidth="1"/>
    <col min="6162" max="6162" width="8.5546875" style="42" customWidth="1"/>
    <col min="6163" max="6163" width="10.109375" style="42" bestFit="1" customWidth="1"/>
    <col min="6164" max="6164" width="10.5546875" style="42" customWidth="1"/>
    <col min="6165" max="6165" width="6.6640625" style="42" customWidth="1"/>
    <col min="6166" max="6166" width="8.88671875" style="42" customWidth="1"/>
    <col min="6167" max="6167" width="0" style="42" hidden="1" customWidth="1"/>
    <col min="6168" max="6168" width="8.33203125" style="42" customWidth="1"/>
    <col min="6169" max="6169" width="12" style="42" customWidth="1"/>
    <col min="6170" max="6170" width="8.33203125" style="42" bestFit="1" customWidth="1"/>
    <col min="6171" max="6171" width="11" style="42" customWidth="1"/>
    <col min="6172" max="6172" width="8" style="42" customWidth="1"/>
    <col min="6173" max="6173" width="9.5546875" style="42" customWidth="1"/>
    <col min="6174" max="6174" width="8.5546875" style="42" customWidth="1"/>
    <col min="6175" max="6400" width="9.109375" style="42"/>
    <col min="6401" max="6401" width="2.109375" style="42" customWidth="1"/>
    <col min="6402" max="6402" width="1.6640625" style="42" customWidth="1"/>
    <col min="6403" max="6403" width="25.44140625" style="42" bestFit="1" customWidth="1"/>
    <col min="6404" max="6404" width="11.44140625" style="42" customWidth="1"/>
    <col min="6405" max="6405" width="14.109375" style="42" bestFit="1" customWidth="1"/>
    <col min="6406" max="6406" width="14.33203125" style="42" customWidth="1"/>
    <col min="6407" max="6407" width="8.44140625" style="42" customWidth="1"/>
    <col min="6408" max="6408" width="7.6640625" style="42" bestFit="1" customWidth="1"/>
    <col min="6409" max="6410" width="10.33203125" style="42" customWidth="1"/>
    <col min="6411" max="6411" width="11" style="42" customWidth="1"/>
    <col min="6412" max="6412" width="8.33203125" style="42" customWidth="1"/>
    <col min="6413" max="6413" width="8.88671875" style="42" customWidth="1"/>
    <col min="6414" max="6414" width="7.109375" style="42" customWidth="1"/>
    <col min="6415" max="6415" width="8.44140625" style="42" customWidth="1"/>
    <col min="6416" max="6416" width="8.88671875" style="42" customWidth="1"/>
    <col min="6417" max="6417" width="9.33203125" style="42" customWidth="1"/>
    <col min="6418" max="6418" width="8.5546875" style="42" customWidth="1"/>
    <col min="6419" max="6419" width="10.109375" style="42" bestFit="1" customWidth="1"/>
    <col min="6420" max="6420" width="10.5546875" style="42" customWidth="1"/>
    <col min="6421" max="6421" width="6.6640625" style="42" customWidth="1"/>
    <col min="6422" max="6422" width="8.88671875" style="42" customWidth="1"/>
    <col min="6423" max="6423" width="0" style="42" hidden="1" customWidth="1"/>
    <col min="6424" max="6424" width="8.33203125" style="42" customWidth="1"/>
    <col min="6425" max="6425" width="12" style="42" customWidth="1"/>
    <col min="6426" max="6426" width="8.33203125" style="42" bestFit="1" customWidth="1"/>
    <col min="6427" max="6427" width="11" style="42" customWidth="1"/>
    <col min="6428" max="6428" width="8" style="42" customWidth="1"/>
    <col min="6429" max="6429" width="9.5546875" style="42" customWidth="1"/>
    <col min="6430" max="6430" width="8.5546875" style="42" customWidth="1"/>
    <col min="6431" max="6656" width="9.109375" style="42"/>
    <col min="6657" max="6657" width="2.109375" style="42" customWidth="1"/>
    <col min="6658" max="6658" width="1.6640625" style="42" customWidth="1"/>
    <col min="6659" max="6659" width="25.44140625" style="42" bestFit="1" customWidth="1"/>
    <col min="6660" max="6660" width="11.44140625" style="42" customWidth="1"/>
    <col min="6661" max="6661" width="14.109375" style="42" bestFit="1" customWidth="1"/>
    <col min="6662" max="6662" width="14.33203125" style="42" customWidth="1"/>
    <col min="6663" max="6663" width="8.44140625" style="42" customWidth="1"/>
    <col min="6664" max="6664" width="7.6640625" style="42" bestFit="1" customWidth="1"/>
    <col min="6665" max="6666" width="10.33203125" style="42" customWidth="1"/>
    <col min="6667" max="6667" width="11" style="42" customWidth="1"/>
    <col min="6668" max="6668" width="8.33203125" style="42" customWidth="1"/>
    <col min="6669" max="6669" width="8.88671875" style="42" customWidth="1"/>
    <col min="6670" max="6670" width="7.109375" style="42" customWidth="1"/>
    <col min="6671" max="6671" width="8.44140625" style="42" customWidth="1"/>
    <col min="6672" max="6672" width="8.88671875" style="42" customWidth="1"/>
    <col min="6673" max="6673" width="9.33203125" style="42" customWidth="1"/>
    <col min="6674" max="6674" width="8.5546875" style="42" customWidth="1"/>
    <col min="6675" max="6675" width="10.109375" style="42" bestFit="1" customWidth="1"/>
    <col min="6676" max="6676" width="10.5546875" style="42" customWidth="1"/>
    <col min="6677" max="6677" width="6.6640625" style="42" customWidth="1"/>
    <col min="6678" max="6678" width="8.88671875" style="42" customWidth="1"/>
    <col min="6679" max="6679" width="0" style="42" hidden="1" customWidth="1"/>
    <col min="6680" max="6680" width="8.33203125" style="42" customWidth="1"/>
    <col min="6681" max="6681" width="12" style="42" customWidth="1"/>
    <col min="6682" max="6682" width="8.33203125" style="42" bestFit="1" customWidth="1"/>
    <col min="6683" max="6683" width="11" style="42" customWidth="1"/>
    <col min="6684" max="6684" width="8" style="42" customWidth="1"/>
    <col min="6685" max="6685" width="9.5546875" style="42" customWidth="1"/>
    <col min="6686" max="6686" width="8.5546875" style="42" customWidth="1"/>
    <col min="6687" max="6912" width="9.109375" style="42"/>
    <col min="6913" max="6913" width="2.109375" style="42" customWidth="1"/>
    <col min="6914" max="6914" width="1.6640625" style="42" customWidth="1"/>
    <col min="6915" max="6915" width="25.44140625" style="42" bestFit="1" customWidth="1"/>
    <col min="6916" max="6916" width="11.44140625" style="42" customWidth="1"/>
    <col min="6917" max="6917" width="14.109375" style="42" bestFit="1" customWidth="1"/>
    <col min="6918" max="6918" width="14.33203125" style="42" customWidth="1"/>
    <col min="6919" max="6919" width="8.44140625" style="42" customWidth="1"/>
    <col min="6920" max="6920" width="7.6640625" style="42" bestFit="1" customWidth="1"/>
    <col min="6921" max="6922" width="10.33203125" style="42" customWidth="1"/>
    <col min="6923" max="6923" width="11" style="42" customWidth="1"/>
    <col min="6924" max="6924" width="8.33203125" style="42" customWidth="1"/>
    <col min="6925" max="6925" width="8.88671875" style="42" customWidth="1"/>
    <col min="6926" max="6926" width="7.109375" style="42" customWidth="1"/>
    <col min="6927" max="6927" width="8.44140625" style="42" customWidth="1"/>
    <col min="6928" max="6928" width="8.88671875" style="42" customWidth="1"/>
    <col min="6929" max="6929" width="9.33203125" style="42" customWidth="1"/>
    <col min="6930" max="6930" width="8.5546875" style="42" customWidth="1"/>
    <col min="6931" max="6931" width="10.109375" style="42" bestFit="1" customWidth="1"/>
    <col min="6932" max="6932" width="10.5546875" style="42" customWidth="1"/>
    <col min="6933" max="6933" width="6.6640625" style="42" customWidth="1"/>
    <col min="6934" max="6934" width="8.88671875" style="42" customWidth="1"/>
    <col min="6935" max="6935" width="0" style="42" hidden="1" customWidth="1"/>
    <col min="6936" max="6936" width="8.33203125" style="42" customWidth="1"/>
    <col min="6937" max="6937" width="12" style="42" customWidth="1"/>
    <col min="6938" max="6938" width="8.33203125" style="42" bestFit="1" customWidth="1"/>
    <col min="6939" max="6939" width="11" style="42" customWidth="1"/>
    <col min="6940" max="6940" width="8" style="42" customWidth="1"/>
    <col min="6941" max="6941" width="9.5546875" style="42" customWidth="1"/>
    <col min="6942" max="6942" width="8.5546875" style="42" customWidth="1"/>
    <col min="6943" max="7168" width="9.109375" style="42"/>
    <col min="7169" max="7169" width="2.109375" style="42" customWidth="1"/>
    <col min="7170" max="7170" width="1.6640625" style="42" customWidth="1"/>
    <col min="7171" max="7171" width="25.44140625" style="42" bestFit="1" customWidth="1"/>
    <col min="7172" max="7172" width="11.44140625" style="42" customWidth="1"/>
    <col min="7173" max="7173" width="14.109375" style="42" bestFit="1" customWidth="1"/>
    <col min="7174" max="7174" width="14.33203125" style="42" customWidth="1"/>
    <col min="7175" max="7175" width="8.44140625" style="42" customWidth="1"/>
    <col min="7176" max="7176" width="7.6640625" style="42" bestFit="1" customWidth="1"/>
    <col min="7177" max="7178" width="10.33203125" style="42" customWidth="1"/>
    <col min="7179" max="7179" width="11" style="42" customWidth="1"/>
    <col min="7180" max="7180" width="8.33203125" style="42" customWidth="1"/>
    <col min="7181" max="7181" width="8.88671875" style="42" customWidth="1"/>
    <col min="7182" max="7182" width="7.109375" style="42" customWidth="1"/>
    <col min="7183" max="7183" width="8.44140625" style="42" customWidth="1"/>
    <col min="7184" max="7184" width="8.88671875" style="42" customWidth="1"/>
    <col min="7185" max="7185" width="9.33203125" style="42" customWidth="1"/>
    <col min="7186" max="7186" width="8.5546875" style="42" customWidth="1"/>
    <col min="7187" max="7187" width="10.109375" style="42" bestFit="1" customWidth="1"/>
    <col min="7188" max="7188" width="10.5546875" style="42" customWidth="1"/>
    <col min="7189" max="7189" width="6.6640625" style="42" customWidth="1"/>
    <col min="7190" max="7190" width="8.88671875" style="42" customWidth="1"/>
    <col min="7191" max="7191" width="0" style="42" hidden="1" customWidth="1"/>
    <col min="7192" max="7192" width="8.33203125" style="42" customWidth="1"/>
    <col min="7193" max="7193" width="12" style="42" customWidth="1"/>
    <col min="7194" max="7194" width="8.33203125" style="42" bestFit="1" customWidth="1"/>
    <col min="7195" max="7195" width="11" style="42" customWidth="1"/>
    <col min="7196" max="7196" width="8" style="42" customWidth="1"/>
    <col min="7197" max="7197" width="9.5546875" style="42" customWidth="1"/>
    <col min="7198" max="7198" width="8.5546875" style="42" customWidth="1"/>
    <col min="7199" max="7424" width="9.109375" style="42"/>
    <col min="7425" max="7425" width="2.109375" style="42" customWidth="1"/>
    <col min="7426" max="7426" width="1.6640625" style="42" customWidth="1"/>
    <col min="7427" max="7427" width="25.44140625" style="42" bestFit="1" customWidth="1"/>
    <col min="7428" max="7428" width="11.44140625" style="42" customWidth="1"/>
    <col min="7429" max="7429" width="14.109375" style="42" bestFit="1" customWidth="1"/>
    <col min="7430" max="7430" width="14.33203125" style="42" customWidth="1"/>
    <col min="7431" max="7431" width="8.44140625" style="42" customWidth="1"/>
    <col min="7432" max="7432" width="7.6640625" style="42" bestFit="1" customWidth="1"/>
    <col min="7433" max="7434" width="10.33203125" style="42" customWidth="1"/>
    <col min="7435" max="7435" width="11" style="42" customWidth="1"/>
    <col min="7436" max="7436" width="8.33203125" style="42" customWidth="1"/>
    <col min="7437" max="7437" width="8.88671875" style="42" customWidth="1"/>
    <col min="7438" max="7438" width="7.109375" style="42" customWidth="1"/>
    <col min="7439" max="7439" width="8.44140625" style="42" customWidth="1"/>
    <col min="7440" max="7440" width="8.88671875" style="42" customWidth="1"/>
    <col min="7441" max="7441" width="9.33203125" style="42" customWidth="1"/>
    <col min="7442" max="7442" width="8.5546875" style="42" customWidth="1"/>
    <col min="7443" max="7443" width="10.109375" style="42" bestFit="1" customWidth="1"/>
    <col min="7444" max="7444" width="10.5546875" style="42" customWidth="1"/>
    <col min="7445" max="7445" width="6.6640625" style="42" customWidth="1"/>
    <col min="7446" max="7446" width="8.88671875" style="42" customWidth="1"/>
    <col min="7447" max="7447" width="0" style="42" hidden="1" customWidth="1"/>
    <col min="7448" max="7448" width="8.33203125" style="42" customWidth="1"/>
    <col min="7449" max="7449" width="12" style="42" customWidth="1"/>
    <col min="7450" max="7450" width="8.33203125" style="42" bestFit="1" customWidth="1"/>
    <col min="7451" max="7451" width="11" style="42" customWidth="1"/>
    <col min="7452" max="7452" width="8" style="42" customWidth="1"/>
    <col min="7453" max="7453" width="9.5546875" style="42" customWidth="1"/>
    <col min="7454" max="7454" width="8.5546875" style="42" customWidth="1"/>
    <col min="7455" max="7680" width="9.109375" style="42"/>
    <col min="7681" max="7681" width="2.109375" style="42" customWidth="1"/>
    <col min="7682" max="7682" width="1.6640625" style="42" customWidth="1"/>
    <col min="7683" max="7683" width="25.44140625" style="42" bestFit="1" customWidth="1"/>
    <col min="7684" max="7684" width="11.44140625" style="42" customWidth="1"/>
    <col min="7685" max="7685" width="14.109375" style="42" bestFit="1" customWidth="1"/>
    <col min="7686" max="7686" width="14.33203125" style="42" customWidth="1"/>
    <col min="7687" max="7687" width="8.44140625" style="42" customWidth="1"/>
    <col min="7688" max="7688" width="7.6640625" style="42" bestFit="1" customWidth="1"/>
    <col min="7689" max="7690" width="10.33203125" style="42" customWidth="1"/>
    <col min="7691" max="7691" width="11" style="42" customWidth="1"/>
    <col min="7692" max="7692" width="8.33203125" style="42" customWidth="1"/>
    <col min="7693" max="7693" width="8.88671875" style="42" customWidth="1"/>
    <col min="7694" max="7694" width="7.109375" style="42" customWidth="1"/>
    <col min="7695" max="7695" width="8.44140625" style="42" customWidth="1"/>
    <col min="7696" max="7696" width="8.88671875" style="42" customWidth="1"/>
    <col min="7697" max="7697" width="9.33203125" style="42" customWidth="1"/>
    <col min="7698" max="7698" width="8.5546875" style="42" customWidth="1"/>
    <col min="7699" max="7699" width="10.109375" style="42" bestFit="1" customWidth="1"/>
    <col min="7700" max="7700" width="10.5546875" style="42" customWidth="1"/>
    <col min="7701" max="7701" width="6.6640625" style="42" customWidth="1"/>
    <col min="7702" max="7702" width="8.88671875" style="42" customWidth="1"/>
    <col min="7703" max="7703" width="0" style="42" hidden="1" customWidth="1"/>
    <col min="7704" max="7704" width="8.33203125" style="42" customWidth="1"/>
    <col min="7705" max="7705" width="12" style="42" customWidth="1"/>
    <col min="7706" max="7706" width="8.33203125" style="42" bestFit="1" customWidth="1"/>
    <col min="7707" max="7707" width="11" style="42" customWidth="1"/>
    <col min="7708" max="7708" width="8" style="42" customWidth="1"/>
    <col min="7709" max="7709" width="9.5546875" style="42" customWidth="1"/>
    <col min="7710" max="7710" width="8.5546875" style="42" customWidth="1"/>
    <col min="7711" max="7936" width="9.109375" style="42"/>
    <col min="7937" max="7937" width="2.109375" style="42" customWidth="1"/>
    <col min="7938" max="7938" width="1.6640625" style="42" customWidth="1"/>
    <col min="7939" max="7939" width="25.44140625" style="42" bestFit="1" customWidth="1"/>
    <col min="7940" max="7940" width="11.44140625" style="42" customWidth="1"/>
    <col min="7941" max="7941" width="14.109375" style="42" bestFit="1" customWidth="1"/>
    <col min="7942" max="7942" width="14.33203125" style="42" customWidth="1"/>
    <col min="7943" max="7943" width="8.44140625" style="42" customWidth="1"/>
    <col min="7944" max="7944" width="7.6640625" style="42" bestFit="1" customWidth="1"/>
    <col min="7945" max="7946" width="10.33203125" style="42" customWidth="1"/>
    <col min="7947" max="7947" width="11" style="42" customWidth="1"/>
    <col min="7948" max="7948" width="8.33203125" style="42" customWidth="1"/>
    <col min="7949" max="7949" width="8.88671875" style="42" customWidth="1"/>
    <col min="7950" max="7950" width="7.109375" style="42" customWidth="1"/>
    <col min="7951" max="7951" width="8.44140625" style="42" customWidth="1"/>
    <col min="7952" max="7952" width="8.88671875" style="42" customWidth="1"/>
    <col min="7953" max="7953" width="9.33203125" style="42" customWidth="1"/>
    <col min="7954" max="7954" width="8.5546875" style="42" customWidth="1"/>
    <col min="7955" max="7955" width="10.109375" style="42" bestFit="1" customWidth="1"/>
    <col min="7956" max="7956" width="10.5546875" style="42" customWidth="1"/>
    <col min="7957" max="7957" width="6.6640625" style="42" customWidth="1"/>
    <col min="7958" max="7958" width="8.88671875" style="42" customWidth="1"/>
    <col min="7959" max="7959" width="0" style="42" hidden="1" customWidth="1"/>
    <col min="7960" max="7960" width="8.33203125" style="42" customWidth="1"/>
    <col min="7961" max="7961" width="12" style="42" customWidth="1"/>
    <col min="7962" max="7962" width="8.33203125" style="42" bestFit="1" customWidth="1"/>
    <col min="7963" max="7963" width="11" style="42" customWidth="1"/>
    <col min="7964" max="7964" width="8" style="42" customWidth="1"/>
    <col min="7965" max="7965" width="9.5546875" style="42" customWidth="1"/>
    <col min="7966" max="7966" width="8.5546875" style="42" customWidth="1"/>
    <col min="7967" max="8192" width="9.109375" style="42"/>
    <col min="8193" max="8193" width="2.109375" style="42" customWidth="1"/>
    <col min="8194" max="8194" width="1.6640625" style="42" customWidth="1"/>
    <col min="8195" max="8195" width="25.44140625" style="42" bestFit="1" customWidth="1"/>
    <col min="8196" max="8196" width="11.44140625" style="42" customWidth="1"/>
    <col min="8197" max="8197" width="14.109375" style="42" bestFit="1" customWidth="1"/>
    <col min="8198" max="8198" width="14.33203125" style="42" customWidth="1"/>
    <col min="8199" max="8199" width="8.44140625" style="42" customWidth="1"/>
    <col min="8200" max="8200" width="7.6640625" style="42" bestFit="1" customWidth="1"/>
    <col min="8201" max="8202" width="10.33203125" style="42" customWidth="1"/>
    <col min="8203" max="8203" width="11" style="42" customWidth="1"/>
    <col min="8204" max="8204" width="8.33203125" style="42" customWidth="1"/>
    <col min="8205" max="8205" width="8.88671875" style="42" customWidth="1"/>
    <col min="8206" max="8206" width="7.109375" style="42" customWidth="1"/>
    <col min="8207" max="8207" width="8.44140625" style="42" customWidth="1"/>
    <col min="8208" max="8208" width="8.88671875" style="42" customWidth="1"/>
    <col min="8209" max="8209" width="9.33203125" style="42" customWidth="1"/>
    <col min="8210" max="8210" width="8.5546875" style="42" customWidth="1"/>
    <col min="8211" max="8211" width="10.109375" style="42" bestFit="1" customWidth="1"/>
    <col min="8212" max="8212" width="10.5546875" style="42" customWidth="1"/>
    <col min="8213" max="8213" width="6.6640625" style="42" customWidth="1"/>
    <col min="8214" max="8214" width="8.88671875" style="42" customWidth="1"/>
    <col min="8215" max="8215" width="0" style="42" hidden="1" customWidth="1"/>
    <col min="8216" max="8216" width="8.33203125" style="42" customWidth="1"/>
    <col min="8217" max="8217" width="12" style="42" customWidth="1"/>
    <col min="8218" max="8218" width="8.33203125" style="42" bestFit="1" customWidth="1"/>
    <col min="8219" max="8219" width="11" style="42" customWidth="1"/>
    <col min="8220" max="8220" width="8" style="42" customWidth="1"/>
    <col min="8221" max="8221" width="9.5546875" style="42" customWidth="1"/>
    <col min="8222" max="8222" width="8.5546875" style="42" customWidth="1"/>
    <col min="8223" max="8448" width="9.109375" style="42"/>
    <col min="8449" max="8449" width="2.109375" style="42" customWidth="1"/>
    <col min="8450" max="8450" width="1.6640625" style="42" customWidth="1"/>
    <col min="8451" max="8451" width="25.44140625" style="42" bestFit="1" customWidth="1"/>
    <col min="8452" max="8452" width="11.44140625" style="42" customWidth="1"/>
    <col min="8453" max="8453" width="14.109375" style="42" bestFit="1" customWidth="1"/>
    <col min="8454" max="8454" width="14.33203125" style="42" customWidth="1"/>
    <col min="8455" max="8455" width="8.44140625" style="42" customWidth="1"/>
    <col min="8456" max="8456" width="7.6640625" style="42" bestFit="1" customWidth="1"/>
    <col min="8457" max="8458" width="10.33203125" style="42" customWidth="1"/>
    <col min="8459" max="8459" width="11" style="42" customWidth="1"/>
    <col min="8460" max="8460" width="8.33203125" style="42" customWidth="1"/>
    <col min="8461" max="8461" width="8.88671875" style="42" customWidth="1"/>
    <col min="8462" max="8462" width="7.109375" style="42" customWidth="1"/>
    <col min="8463" max="8463" width="8.44140625" style="42" customWidth="1"/>
    <col min="8464" max="8464" width="8.88671875" style="42" customWidth="1"/>
    <col min="8465" max="8465" width="9.33203125" style="42" customWidth="1"/>
    <col min="8466" max="8466" width="8.5546875" style="42" customWidth="1"/>
    <col min="8467" max="8467" width="10.109375" style="42" bestFit="1" customWidth="1"/>
    <col min="8468" max="8468" width="10.5546875" style="42" customWidth="1"/>
    <col min="8469" max="8469" width="6.6640625" style="42" customWidth="1"/>
    <col min="8470" max="8470" width="8.88671875" style="42" customWidth="1"/>
    <col min="8471" max="8471" width="0" style="42" hidden="1" customWidth="1"/>
    <col min="8472" max="8472" width="8.33203125" style="42" customWidth="1"/>
    <col min="8473" max="8473" width="12" style="42" customWidth="1"/>
    <col min="8474" max="8474" width="8.33203125" style="42" bestFit="1" customWidth="1"/>
    <col min="8475" max="8475" width="11" style="42" customWidth="1"/>
    <col min="8476" max="8476" width="8" style="42" customWidth="1"/>
    <col min="8477" max="8477" width="9.5546875" style="42" customWidth="1"/>
    <col min="8478" max="8478" width="8.5546875" style="42" customWidth="1"/>
    <col min="8479" max="8704" width="9.109375" style="42"/>
    <col min="8705" max="8705" width="2.109375" style="42" customWidth="1"/>
    <col min="8706" max="8706" width="1.6640625" style="42" customWidth="1"/>
    <col min="8707" max="8707" width="25.44140625" style="42" bestFit="1" customWidth="1"/>
    <col min="8708" max="8708" width="11.44140625" style="42" customWidth="1"/>
    <col min="8709" max="8709" width="14.109375" style="42" bestFit="1" customWidth="1"/>
    <col min="8710" max="8710" width="14.33203125" style="42" customWidth="1"/>
    <col min="8711" max="8711" width="8.44140625" style="42" customWidth="1"/>
    <col min="8712" max="8712" width="7.6640625" style="42" bestFit="1" customWidth="1"/>
    <col min="8713" max="8714" width="10.33203125" style="42" customWidth="1"/>
    <col min="8715" max="8715" width="11" style="42" customWidth="1"/>
    <col min="8716" max="8716" width="8.33203125" style="42" customWidth="1"/>
    <col min="8717" max="8717" width="8.88671875" style="42" customWidth="1"/>
    <col min="8718" max="8718" width="7.109375" style="42" customWidth="1"/>
    <col min="8719" max="8719" width="8.44140625" style="42" customWidth="1"/>
    <col min="8720" max="8720" width="8.88671875" style="42" customWidth="1"/>
    <col min="8721" max="8721" width="9.33203125" style="42" customWidth="1"/>
    <col min="8722" max="8722" width="8.5546875" style="42" customWidth="1"/>
    <col min="8723" max="8723" width="10.109375" style="42" bestFit="1" customWidth="1"/>
    <col min="8724" max="8724" width="10.5546875" style="42" customWidth="1"/>
    <col min="8725" max="8725" width="6.6640625" style="42" customWidth="1"/>
    <col min="8726" max="8726" width="8.88671875" style="42" customWidth="1"/>
    <col min="8727" max="8727" width="0" style="42" hidden="1" customWidth="1"/>
    <col min="8728" max="8728" width="8.33203125" style="42" customWidth="1"/>
    <col min="8729" max="8729" width="12" style="42" customWidth="1"/>
    <col min="8730" max="8730" width="8.33203125" style="42" bestFit="1" customWidth="1"/>
    <col min="8731" max="8731" width="11" style="42" customWidth="1"/>
    <col min="8732" max="8732" width="8" style="42" customWidth="1"/>
    <col min="8733" max="8733" width="9.5546875" style="42" customWidth="1"/>
    <col min="8734" max="8734" width="8.5546875" style="42" customWidth="1"/>
    <col min="8735" max="8960" width="9.109375" style="42"/>
    <col min="8961" max="8961" width="2.109375" style="42" customWidth="1"/>
    <col min="8962" max="8962" width="1.6640625" style="42" customWidth="1"/>
    <col min="8963" max="8963" width="25.44140625" style="42" bestFit="1" customWidth="1"/>
    <col min="8964" max="8964" width="11.44140625" style="42" customWidth="1"/>
    <col min="8965" max="8965" width="14.109375" style="42" bestFit="1" customWidth="1"/>
    <col min="8966" max="8966" width="14.33203125" style="42" customWidth="1"/>
    <col min="8967" max="8967" width="8.44140625" style="42" customWidth="1"/>
    <col min="8968" max="8968" width="7.6640625" style="42" bestFit="1" customWidth="1"/>
    <col min="8969" max="8970" width="10.33203125" style="42" customWidth="1"/>
    <col min="8971" max="8971" width="11" style="42" customWidth="1"/>
    <col min="8972" max="8972" width="8.33203125" style="42" customWidth="1"/>
    <col min="8973" max="8973" width="8.88671875" style="42" customWidth="1"/>
    <col min="8974" max="8974" width="7.109375" style="42" customWidth="1"/>
    <col min="8975" max="8975" width="8.44140625" style="42" customWidth="1"/>
    <col min="8976" max="8976" width="8.88671875" style="42" customWidth="1"/>
    <col min="8977" max="8977" width="9.33203125" style="42" customWidth="1"/>
    <col min="8978" max="8978" width="8.5546875" style="42" customWidth="1"/>
    <col min="8979" max="8979" width="10.109375" style="42" bestFit="1" customWidth="1"/>
    <col min="8980" max="8980" width="10.5546875" style="42" customWidth="1"/>
    <col min="8981" max="8981" width="6.6640625" style="42" customWidth="1"/>
    <col min="8982" max="8982" width="8.88671875" style="42" customWidth="1"/>
    <col min="8983" max="8983" width="0" style="42" hidden="1" customWidth="1"/>
    <col min="8984" max="8984" width="8.33203125" style="42" customWidth="1"/>
    <col min="8985" max="8985" width="12" style="42" customWidth="1"/>
    <col min="8986" max="8986" width="8.33203125" style="42" bestFit="1" customWidth="1"/>
    <col min="8987" max="8987" width="11" style="42" customWidth="1"/>
    <col min="8988" max="8988" width="8" style="42" customWidth="1"/>
    <col min="8989" max="8989" width="9.5546875" style="42" customWidth="1"/>
    <col min="8990" max="8990" width="8.5546875" style="42" customWidth="1"/>
    <col min="8991" max="9216" width="9.109375" style="42"/>
    <col min="9217" max="9217" width="2.109375" style="42" customWidth="1"/>
    <col min="9218" max="9218" width="1.6640625" style="42" customWidth="1"/>
    <col min="9219" max="9219" width="25.44140625" style="42" bestFit="1" customWidth="1"/>
    <col min="9220" max="9220" width="11.44140625" style="42" customWidth="1"/>
    <col min="9221" max="9221" width="14.109375" style="42" bestFit="1" customWidth="1"/>
    <col min="9222" max="9222" width="14.33203125" style="42" customWidth="1"/>
    <col min="9223" max="9223" width="8.44140625" style="42" customWidth="1"/>
    <col min="9224" max="9224" width="7.6640625" style="42" bestFit="1" customWidth="1"/>
    <col min="9225" max="9226" width="10.33203125" style="42" customWidth="1"/>
    <col min="9227" max="9227" width="11" style="42" customWidth="1"/>
    <col min="9228" max="9228" width="8.33203125" style="42" customWidth="1"/>
    <col min="9229" max="9229" width="8.88671875" style="42" customWidth="1"/>
    <col min="9230" max="9230" width="7.109375" style="42" customWidth="1"/>
    <col min="9231" max="9231" width="8.44140625" style="42" customWidth="1"/>
    <col min="9232" max="9232" width="8.88671875" style="42" customWidth="1"/>
    <col min="9233" max="9233" width="9.33203125" style="42" customWidth="1"/>
    <col min="9234" max="9234" width="8.5546875" style="42" customWidth="1"/>
    <col min="9235" max="9235" width="10.109375" style="42" bestFit="1" customWidth="1"/>
    <col min="9236" max="9236" width="10.5546875" style="42" customWidth="1"/>
    <col min="9237" max="9237" width="6.6640625" style="42" customWidth="1"/>
    <col min="9238" max="9238" width="8.88671875" style="42" customWidth="1"/>
    <col min="9239" max="9239" width="0" style="42" hidden="1" customWidth="1"/>
    <col min="9240" max="9240" width="8.33203125" style="42" customWidth="1"/>
    <col min="9241" max="9241" width="12" style="42" customWidth="1"/>
    <col min="9242" max="9242" width="8.33203125" style="42" bestFit="1" customWidth="1"/>
    <col min="9243" max="9243" width="11" style="42" customWidth="1"/>
    <col min="9244" max="9244" width="8" style="42" customWidth="1"/>
    <col min="9245" max="9245" width="9.5546875" style="42" customWidth="1"/>
    <col min="9246" max="9246" width="8.5546875" style="42" customWidth="1"/>
    <col min="9247" max="9472" width="9.109375" style="42"/>
    <col min="9473" max="9473" width="2.109375" style="42" customWidth="1"/>
    <col min="9474" max="9474" width="1.6640625" style="42" customWidth="1"/>
    <col min="9475" max="9475" width="25.44140625" style="42" bestFit="1" customWidth="1"/>
    <col min="9476" max="9476" width="11.44140625" style="42" customWidth="1"/>
    <col min="9477" max="9477" width="14.109375" style="42" bestFit="1" customWidth="1"/>
    <col min="9478" max="9478" width="14.33203125" style="42" customWidth="1"/>
    <col min="9479" max="9479" width="8.44140625" style="42" customWidth="1"/>
    <col min="9480" max="9480" width="7.6640625" style="42" bestFit="1" customWidth="1"/>
    <col min="9481" max="9482" width="10.33203125" style="42" customWidth="1"/>
    <col min="9483" max="9483" width="11" style="42" customWidth="1"/>
    <col min="9484" max="9484" width="8.33203125" style="42" customWidth="1"/>
    <col min="9485" max="9485" width="8.88671875" style="42" customWidth="1"/>
    <col min="9486" max="9486" width="7.109375" style="42" customWidth="1"/>
    <col min="9487" max="9487" width="8.44140625" style="42" customWidth="1"/>
    <col min="9488" max="9488" width="8.88671875" style="42" customWidth="1"/>
    <col min="9489" max="9489" width="9.33203125" style="42" customWidth="1"/>
    <col min="9490" max="9490" width="8.5546875" style="42" customWidth="1"/>
    <col min="9491" max="9491" width="10.109375" style="42" bestFit="1" customWidth="1"/>
    <col min="9492" max="9492" width="10.5546875" style="42" customWidth="1"/>
    <col min="9493" max="9493" width="6.6640625" style="42" customWidth="1"/>
    <col min="9494" max="9494" width="8.88671875" style="42" customWidth="1"/>
    <col min="9495" max="9495" width="0" style="42" hidden="1" customWidth="1"/>
    <col min="9496" max="9496" width="8.33203125" style="42" customWidth="1"/>
    <col min="9497" max="9497" width="12" style="42" customWidth="1"/>
    <col min="9498" max="9498" width="8.33203125" style="42" bestFit="1" customWidth="1"/>
    <col min="9499" max="9499" width="11" style="42" customWidth="1"/>
    <col min="9500" max="9500" width="8" style="42" customWidth="1"/>
    <col min="9501" max="9501" width="9.5546875" style="42" customWidth="1"/>
    <col min="9502" max="9502" width="8.5546875" style="42" customWidth="1"/>
    <col min="9503" max="9728" width="9.109375" style="42"/>
    <col min="9729" max="9729" width="2.109375" style="42" customWidth="1"/>
    <col min="9730" max="9730" width="1.6640625" style="42" customWidth="1"/>
    <col min="9731" max="9731" width="25.44140625" style="42" bestFit="1" customWidth="1"/>
    <col min="9732" max="9732" width="11.44140625" style="42" customWidth="1"/>
    <col min="9733" max="9733" width="14.109375" style="42" bestFit="1" customWidth="1"/>
    <col min="9734" max="9734" width="14.33203125" style="42" customWidth="1"/>
    <col min="9735" max="9735" width="8.44140625" style="42" customWidth="1"/>
    <col min="9736" max="9736" width="7.6640625" style="42" bestFit="1" customWidth="1"/>
    <col min="9737" max="9738" width="10.33203125" style="42" customWidth="1"/>
    <col min="9739" max="9739" width="11" style="42" customWidth="1"/>
    <col min="9740" max="9740" width="8.33203125" style="42" customWidth="1"/>
    <col min="9741" max="9741" width="8.88671875" style="42" customWidth="1"/>
    <col min="9742" max="9742" width="7.109375" style="42" customWidth="1"/>
    <col min="9743" max="9743" width="8.44140625" style="42" customWidth="1"/>
    <col min="9744" max="9744" width="8.88671875" style="42" customWidth="1"/>
    <col min="9745" max="9745" width="9.33203125" style="42" customWidth="1"/>
    <col min="9746" max="9746" width="8.5546875" style="42" customWidth="1"/>
    <col min="9747" max="9747" width="10.109375" style="42" bestFit="1" customWidth="1"/>
    <col min="9748" max="9748" width="10.5546875" style="42" customWidth="1"/>
    <col min="9749" max="9749" width="6.6640625" style="42" customWidth="1"/>
    <col min="9750" max="9750" width="8.88671875" style="42" customWidth="1"/>
    <col min="9751" max="9751" width="0" style="42" hidden="1" customWidth="1"/>
    <col min="9752" max="9752" width="8.33203125" style="42" customWidth="1"/>
    <col min="9753" max="9753" width="12" style="42" customWidth="1"/>
    <col min="9754" max="9754" width="8.33203125" style="42" bestFit="1" customWidth="1"/>
    <col min="9755" max="9755" width="11" style="42" customWidth="1"/>
    <col min="9756" max="9756" width="8" style="42" customWidth="1"/>
    <col min="9757" max="9757" width="9.5546875" style="42" customWidth="1"/>
    <col min="9758" max="9758" width="8.5546875" style="42" customWidth="1"/>
    <col min="9759" max="9984" width="9.109375" style="42"/>
    <col min="9985" max="9985" width="2.109375" style="42" customWidth="1"/>
    <col min="9986" max="9986" width="1.6640625" style="42" customWidth="1"/>
    <col min="9987" max="9987" width="25.44140625" style="42" bestFit="1" customWidth="1"/>
    <col min="9988" max="9988" width="11.44140625" style="42" customWidth="1"/>
    <col min="9989" max="9989" width="14.109375" style="42" bestFit="1" customWidth="1"/>
    <col min="9990" max="9990" width="14.33203125" style="42" customWidth="1"/>
    <col min="9991" max="9991" width="8.44140625" style="42" customWidth="1"/>
    <col min="9992" max="9992" width="7.6640625" style="42" bestFit="1" customWidth="1"/>
    <col min="9993" max="9994" width="10.33203125" style="42" customWidth="1"/>
    <col min="9995" max="9995" width="11" style="42" customWidth="1"/>
    <col min="9996" max="9996" width="8.33203125" style="42" customWidth="1"/>
    <col min="9997" max="9997" width="8.88671875" style="42" customWidth="1"/>
    <col min="9998" max="9998" width="7.109375" style="42" customWidth="1"/>
    <col min="9999" max="9999" width="8.44140625" style="42" customWidth="1"/>
    <col min="10000" max="10000" width="8.88671875" style="42" customWidth="1"/>
    <col min="10001" max="10001" width="9.33203125" style="42" customWidth="1"/>
    <col min="10002" max="10002" width="8.5546875" style="42" customWidth="1"/>
    <col min="10003" max="10003" width="10.109375" style="42" bestFit="1" customWidth="1"/>
    <col min="10004" max="10004" width="10.5546875" style="42" customWidth="1"/>
    <col min="10005" max="10005" width="6.6640625" style="42" customWidth="1"/>
    <col min="10006" max="10006" width="8.88671875" style="42" customWidth="1"/>
    <col min="10007" max="10007" width="0" style="42" hidden="1" customWidth="1"/>
    <col min="10008" max="10008" width="8.33203125" style="42" customWidth="1"/>
    <col min="10009" max="10009" width="12" style="42" customWidth="1"/>
    <col min="10010" max="10010" width="8.33203125" style="42" bestFit="1" customWidth="1"/>
    <col min="10011" max="10011" width="11" style="42" customWidth="1"/>
    <col min="10012" max="10012" width="8" style="42" customWidth="1"/>
    <col min="10013" max="10013" width="9.5546875" style="42" customWidth="1"/>
    <col min="10014" max="10014" width="8.5546875" style="42" customWidth="1"/>
    <col min="10015" max="10240" width="9.109375" style="42"/>
    <col min="10241" max="10241" width="2.109375" style="42" customWidth="1"/>
    <col min="10242" max="10242" width="1.6640625" style="42" customWidth="1"/>
    <col min="10243" max="10243" width="25.44140625" style="42" bestFit="1" customWidth="1"/>
    <col min="10244" max="10244" width="11.44140625" style="42" customWidth="1"/>
    <col min="10245" max="10245" width="14.109375" style="42" bestFit="1" customWidth="1"/>
    <col min="10246" max="10246" width="14.33203125" style="42" customWidth="1"/>
    <col min="10247" max="10247" width="8.44140625" style="42" customWidth="1"/>
    <col min="10248" max="10248" width="7.6640625" style="42" bestFit="1" customWidth="1"/>
    <col min="10249" max="10250" width="10.33203125" style="42" customWidth="1"/>
    <col min="10251" max="10251" width="11" style="42" customWidth="1"/>
    <col min="10252" max="10252" width="8.33203125" style="42" customWidth="1"/>
    <col min="10253" max="10253" width="8.88671875" style="42" customWidth="1"/>
    <col min="10254" max="10254" width="7.109375" style="42" customWidth="1"/>
    <col min="10255" max="10255" width="8.44140625" style="42" customWidth="1"/>
    <col min="10256" max="10256" width="8.88671875" style="42" customWidth="1"/>
    <col min="10257" max="10257" width="9.33203125" style="42" customWidth="1"/>
    <col min="10258" max="10258" width="8.5546875" style="42" customWidth="1"/>
    <col min="10259" max="10259" width="10.109375" style="42" bestFit="1" customWidth="1"/>
    <col min="10260" max="10260" width="10.5546875" style="42" customWidth="1"/>
    <col min="10261" max="10261" width="6.6640625" style="42" customWidth="1"/>
    <col min="10262" max="10262" width="8.88671875" style="42" customWidth="1"/>
    <col min="10263" max="10263" width="0" style="42" hidden="1" customWidth="1"/>
    <col min="10264" max="10264" width="8.33203125" style="42" customWidth="1"/>
    <col min="10265" max="10265" width="12" style="42" customWidth="1"/>
    <col min="10266" max="10266" width="8.33203125" style="42" bestFit="1" customWidth="1"/>
    <col min="10267" max="10267" width="11" style="42" customWidth="1"/>
    <col min="10268" max="10268" width="8" style="42" customWidth="1"/>
    <col min="10269" max="10269" width="9.5546875" style="42" customWidth="1"/>
    <col min="10270" max="10270" width="8.5546875" style="42" customWidth="1"/>
    <col min="10271" max="10496" width="9.109375" style="42"/>
    <col min="10497" max="10497" width="2.109375" style="42" customWidth="1"/>
    <col min="10498" max="10498" width="1.6640625" style="42" customWidth="1"/>
    <col min="10499" max="10499" width="25.44140625" style="42" bestFit="1" customWidth="1"/>
    <col min="10500" max="10500" width="11.44140625" style="42" customWidth="1"/>
    <col min="10501" max="10501" width="14.109375" style="42" bestFit="1" customWidth="1"/>
    <col min="10502" max="10502" width="14.33203125" style="42" customWidth="1"/>
    <col min="10503" max="10503" width="8.44140625" style="42" customWidth="1"/>
    <col min="10504" max="10504" width="7.6640625" style="42" bestFit="1" customWidth="1"/>
    <col min="10505" max="10506" width="10.33203125" style="42" customWidth="1"/>
    <col min="10507" max="10507" width="11" style="42" customWidth="1"/>
    <col min="10508" max="10508" width="8.33203125" style="42" customWidth="1"/>
    <col min="10509" max="10509" width="8.88671875" style="42" customWidth="1"/>
    <col min="10510" max="10510" width="7.109375" style="42" customWidth="1"/>
    <col min="10511" max="10511" width="8.44140625" style="42" customWidth="1"/>
    <col min="10512" max="10512" width="8.88671875" style="42" customWidth="1"/>
    <col min="10513" max="10513" width="9.33203125" style="42" customWidth="1"/>
    <col min="10514" max="10514" width="8.5546875" style="42" customWidth="1"/>
    <col min="10515" max="10515" width="10.109375" style="42" bestFit="1" customWidth="1"/>
    <col min="10516" max="10516" width="10.5546875" style="42" customWidth="1"/>
    <col min="10517" max="10517" width="6.6640625" style="42" customWidth="1"/>
    <col min="10518" max="10518" width="8.88671875" style="42" customWidth="1"/>
    <col min="10519" max="10519" width="0" style="42" hidden="1" customWidth="1"/>
    <col min="10520" max="10520" width="8.33203125" style="42" customWidth="1"/>
    <col min="10521" max="10521" width="12" style="42" customWidth="1"/>
    <col min="10522" max="10522" width="8.33203125" style="42" bestFit="1" customWidth="1"/>
    <col min="10523" max="10523" width="11" style="42" customWidth="1"/>
    <col min="10524" max="10524" width="8" style="42" customWidth="1"/>
    <col min="10525" max="10525" width="9.5546875" style="42" customWidth="1"/>
    <col min="10526" max="10526" width="8.5546875" style="42" customWidth="1"/>
    <col min="10527" max="10752" width="9.109375" style="42"/>
    <col min="10753" max="10753" width="2.109375" style="42" customWidth="1"/>
    <col min="10754" max="10754" width="1.6640625" style="42" customWidth="1"/>
    <col min="10755" max="10755" width="25.44140625" style="42" bestFit="1" customWidth="1"/>
    <col min="10756" max="10756" width="11.44140625" style="42" customWidth="1"/>
    <col min="10757" max="10757" width="14.109375" style="42" bestFit="1" customWidth="1"/>
    <col min="10758" max="10758" width="14.33203125" style="42" customWidth="1"/>
    <col min="10759" max="10759" width="8.44140625" style="42" customWidth="1"/>
    <col min="10760" max="10760" width="7.6640625" style="42" bestFit="1" customWidth="1"/>
    <col min="10761" max="10762" width="10.33203125" style="42" customWidth="1"/>
    <col min="10763" max="10763" width="11" style="42" customWidth="1"/>
    <col min="10764" max="10764" width="8.33203125" style="42" customWidth="1"/>
    <col min="10765" max="10765" width="8.88671875" style="42" customWidth="1"/>
    <col min="10766" max="10766" width="7.109375" style="42" customWidth="1"/>
    <col min="10767" max="10767" width="8.44140625" style="42" customWidth="1"/>
    <col min="10768" max="10768" width="8.88671875" style="42" customWidth="1"/>
    <col min="10769" max="10769" width="9.33203125" style="42" customWidth="1"/>
    <col min="10770" max="10770" width="8.5546875" style="42" customWidth="1"/>
    <col min="10771" max="10771" width="10.109375" style="42" bestFit="1" customWidth="1"/>
    <col min="10772" max="10772" width="10.5546875" style="42" customWidth="1"/>
    <col min="10773" max="10773" width="6.6640625" style="42" customWidth="1"/>
    <col min="10774" max="10774" width="8.88671875" style="42" customWidth="1"/>
    <col min="10775" max="10775" width="0" style="42" hidden="1" customWidth="1"/>
    <col min="10776" max="10776" width="8.33203125" style="42" customWidth="1"/>
    <col min="10777" max="10777" width="12" style="42" customWidth="1"/>
    <col min="10778" max="10778" width="8.33203125" style="42" bestFit="1" customWidth="1"/>
    <col min="10779" max="10779" width="11" style="42" customWidth="1"/>
    <col min="10780" max="10780" width="8" style="42" customWidth="1"/>
    <col min="10781" max="10781" width="9.5546875" style="42" customWidth="1"/>
    <col min="10782" max="10782" width="8.5546875" style="42" customWidth="1"/>
    <col min="10783" max="11008" width="9.109375" style="42"/>
    <col min="11009" max="11009" width="2.109375" style="42" customWidth="1"/>
    <col min="11010" max="11010" width="1.6640625" style="42" customWidth="1"/>
    <col min="11011" max="11011" width="25.44140625" style="42" bestFit="1" customWidth="1"/>
    <col min="11012" max="11012" width="11.44140625" style="42" customWidth="1"/>
    <col min="11013" max="11013" width="14.109375" style="42" bestFit="1" customWidth="1"/>
    <col min="11014" max="11014" width="14.33203125" style="42" customWidth="1"/>
    <col min="11015" max="11015" width="8.44140625" style="42" customWidth="1"/>
    <col min="11016" max="11016" width="7.6640625" style="42" bestFit="1" customWidth="1"/>
    <col min="11017" max="11018" width="10.33203125" style="42" customWidth="1"/>
    <col min="11019" max="11019" width="11" style="42" customWidth="1"/>
    <col min="11020" max="11020" width="8.33203125" style="42" customWidth="1"/>
    <col min="11021" max="11021" width="8.88671875" style="42" customWidth="1"/>
    <col min="11022" max="11022" width="7.109375" style="42" customWidth="1"/>
    <col min="11023" max="11023" width="8.44140625" style="42" customWidth="1"/>
    <col min="11024" max="11024" width="8.88671875" style="42" customWidth="1"/>
    <col min="11025" max="11025" width="9.33203125" style="42" customWidth="1"/>
    <col min="11026" max="11026" width="8.5546875" style="42" customWidth="1"/>
    <col min="11027" max="11027" width="10.109375" style="42" bestFit="1" customWidth="1"/>
    <col min="11028" max="11028" width="10.5546875" style="42" customWidth="1"/>
    <col min="11029" max="11029" width="6.6640625" style="42" customWidth="1"/>
    <col min="11030" max="11030" width="8.88671875" style="42" customWidth="1"/>
    <col min="11031" max="11031" width="0" style="42" hidden="1" customWidth="1"/>
    <col min="11032" max="11032" width="8.33203125" style="42" customWidth="1"/>
    <col min="11033" max="11033" width="12" style="42" customWidth="1"/>
    <col min="11034" max="11034" width="8.33203125" style="42" bestFit="1" customWidth="1"/>
    <col min="11035" max="11035" width="11" style="42" customWidth="1"/>
    <col min="11036" max="11036" width="8" style="42" customWidth="1"/>
    <col min="11037" max="11037" width="9.5546875" style="42" customWidth="1"/>
    <col min="11038" max="11038" width="8.5546875" style="42" customWidth="1"/>
    <col min="11039" max="11264" width="9.109375" style="42"/>
    <col min="11265" max="11265" width="2.109375" style="42" customWidth="1"/>
    <col min="11266" max="11266" width="1.6640625" style="42" customWidth="1"/>
    <col min="11267" max="11267" width="25.44140625" style="42" bestFit="1" customWidth="1"/>
    <col min="11268" max="11268" width="11.44140625" style="42" customWidth="1"/>
    <col min="11269" max="11269" width="14.109375" style="42" bestFit="1" customWidth="1"/>
    <col min="11270" max="11270" width="14.33203125" style="42" customWidth="1"/>
    <col min="11271" max="11271" width="8.44140625" style="42" customWidth="1"/>
    <col min="11272" max="11272" width="7.6640625" style="42" bestFit="1" customWidth="1"/>
    <col min="11273" max="11274" width="10.33203125" style="42" customWidth="1"/>
    <col min="11275" max="11275" width="11" style="42" customWidth="1"/>
    <col min="11276" max="11276" width="8.33203125" style="42" customWidth="1"/>
    <col min="11277" max="11277" width="8.88671875" style="42" customWidth="1"/>
    <col min="11278" max="11278" width="7.109375" style="42" customWidth="1"/>
    <col min="11279" max="11279" width="8.44140625" style="42" customWidth="1"/>
    <col min="11280" max="11280" width="8.88671875" style="42" customWidth="1"/>
    <col min="11281" max="11281" width="9.33203125" style="42" customWidth="1"/>
    <col min="11282" max="11282" width="8.5546875" style="42" customWidth="1"/>
    <col min="11283" max="11283" width="10.109375" style="42" bestFit="1" customWidth="1"/>
    <col min="11284" max="11284" width="10.5546875" style="42" customWidth="1"/>
    <col min="11285" max="11285" width="6.6640625" style="42" customWidth="1"/>
    <col min="11286" max="11286" width="8.88671875" style="42" customWidth="1"/>
    <col min="11287" max="11287" width="0" style="42" hidden="1" customWidth="1"/>
    <col min="11288" max="11288" width="8.33203125" style="42" customWidth="1"/>
    <col min="11289" max="11289" width="12" style="42" customWidth="1"/>
    <col min="11290" max="11290" width="8.33203125" style="42" bestFit="1" customWidth="1"/>
    <col min="11291" max="11291" width="11" style="42" customWidth="1"/>
    <col min="11292" max="11292" width="8" style="42" customWidth="1"/>
    <col min="11293" max="11293" width="9.5546875" style="42" customWidth="1"/>
    <col min="11294" max="11294" width="8.5546875" style="42" customWidth="1"/>
    <col min="11295" max="11520" width="9.109375" style="42"/>
    <col min="11521" max="11521" width="2.109375" style="42" customWidth="1"/>
    <col min="11522" max="11522" width="1.6640625" style="42" customWidth="1"/>
    <col min="11523" max="11523" width="25.44140625" style="42" bestFit="1" customWidth="1"/>
    <col min="11524" max="11524" width="11.44140625" style="42" customWidth="1"/>
    <col min="11525" max="11525" width="14.109375" style="42" bestFit="1" customWidth="1"/>
    <col min="11526" max="11526" width="14.33203125" style="42" customWidth="1"/>
    <col min="11527" max="11527" width="8.44140625" style="42" customWidth="1"/>
    <col min="11528" max="11528" width="7.6640625" style="42" bestFit="1" customWidth="1"/>
    <col min="11529" max="11530" width="10.33203125" style="42" customWidth="1"/>
    <col min="11531" max="11531" width="11" style="42" customWidth="1"/>
    <col min="11532" max="11532" width="8.33203125" style="42" customWidth="1"/>
    <col min="11533" max="11533" width="8.88671875" style="42" customWidth="1"/>
    <col min="11534" max="11534" width="7.109375" style="42" customWidth="1"/>
    <col min="11535" max="11535" width="8.44140625" style="42" customWidth="1"/>
    <col min="11536" max="11536" width="8.88671875" style="42" customWidth="1"/>
    <col min="11537" max="11537" width="9.33203125" style="42" customWidth="1"/>
    <col min="11538" max="11538" width="8.5546875" style="42" customWidth="1"/>
    <col min="11539" max="11539" width="10.109375" style="42" bestFit="1" customWidth="1"/>
    <col min="11540" max="11540" width="10.5546875" style="42" customWidth="1"/>
    <col min="11541" max="11541" width="6.6640625" style="42" customWidth="1"/>
    <col min="11542" max="11542" width="8.88671875" style="42" customWidth="1"/>
    <col min="11543" max="11543" width="0" style="42" hidden="1" customWidth="1"/>
    <col min="11544" max="11544" width="8.33203125" style="42" customWidth="1"/>
    <col min="11545" max="11545" width="12" style="42" customWidth="1"/>
    <col min="11546" max="11546" width="8.33203125" style="42" bestFit="1" customWidth="1"/>
    <col min="11547" max="11547" width="11" style="42" customWidth="1"/>
    <col min="11548" max="11548" width="8" style="42" customWidth="1"/>
    <col min="11549" max="11549" width="9.5546875" style="42" customWidth="1"/>
    <col min="11550" max="11550" width="8.5546875" style="42" customWidth="1"/>
    <col min="11551" max="11776" width="9.109375" style="42"/>
    <col min="11777" max="11777" width="2.109375" style="42" customWidth="1"/>
    <col min="11778" max="11778" width="1.6640625" style="42" customWidth="1"/>
    <col min="11779" max="11779" width="25.44140625" style="42" bestFit="1" customWidth="1"/>
    <col min="11780" max="11780" width="11.44140625" style="42" customWidth="1"/>
    <col min="11781" max="11781" width="14.109375" style="42" bestFit="1" customWidth="1"/>
    <col min="11782" max="11782" width="14.33203125" style="42" customWidth="1"/>
    <col min="11783" max="11783" width="8.44140625" style="42" customWidth="1"/>
    <col min="11784" max="11784" width="7.6640625" style="42" bestFit="1" customWidth="1"/>
    <col min="11785" max="11786" width="10.33203125" style="42" customWidth="1"/>
    <col min="11787" max="11787" width="11" style="42" customWidth="1"/>
    <col min="11788" max="11788" width="8.33203125" style="42" customWidth="1"/>
    <col min="11789" max="11789" width="8.88671875" style="42" customWidth="1"/>
    <col min="11790" max="11790" width="7.109375" style="42" customWidth="1"/>
    <col min="11791" max="11791" width="8.44140625" style="42" customWidth="1"/>
    <col min="11792" max="11792" width="8.88671875" style="42" customWidth="1"/>
    <col min="11793" max="11793" width="9.33203125" style="42" customWidth="1"/>
    <col min="11794" max="11794" width="8.5546875" style="42" customWidth="1"/>
    <col min="11795" max="11795" width="10.109375" style="42" bestFit="1" customWidth="1"/>
    <col min="11796" max="11796" width="10.5546875" style="42" customWidth="1"/>
    <col min="11797" max="11797" width="6.6640625" style="42" customWidth="1"/>
    <col min="11798" max="11798" width="8.88671875" style="42" customWidth="1"/>
    <col min="11799" max="11799" width="0" style="42" hidden="1" customWidth="1"/>
    <col min="11800" max="11800" width="8.33203125" style="42" customWidth="1"/>
    <col min="11801" max="11801" width="12" style="42" customWidth="1"/>
    <col min="11802" max="11802" width="8.33203125" style="42" bestFit="1" customWidth="1"/>
    <col min="11803" max="11803" width="11" style="42" customWidth="1"/>
    <col min="11804" max="11804" width="8" style="42" customWidth="1"/>
    <col min="11805" max="11805" width="9.5546875" style="42" customWidth="1"/>
    <col min="11806" max="11806" width="8.5546875" style="42" customWidth="1"/>
    <col min="11807" max="12032" width="9.109375" style="42"/>
    <col min="12033" max="12033" width="2.109375" style="42" customWidth="1"/>
    <col min="12034" max="12034" width="1.6640625" style="42" customWidth="1"/>
    <col min="12035" max="12035" width="25.44140625" style="42" bestFit="1" customWidth="1"/>
    <col min="12036" max="12036" width="11.44140625" style="42" customWidth="1"/>
    <col min="12037" max="12037" width="14.109375" style="42" bestFit="1" customWidth="1"/>
    <col min="12038" max="12038" width="14.33203125" style="42" customWidth="1"/>
    <col min="12039" max="12039" width="8.44140625" style="42" customWidth="1"/>
    <col min="12040" max="12040" width="7.6640625" style="42" bestFit="1" customWidth="1"/>
    <col min="12041" max="12042" width="10.33203125" style="42" customWidth="1"/>
    <col min="12043" max="12043" width="11" style="42" customWidth="1"/>
    <col min="12044" max="12044" width="8.33203125" style="42" customWidth="1"/>
    <col min="12045" max="12045" width="8.88671875" style="42" customWidth="1"/>
    <col min="12046" max="12046" width="7.109375" style="42" customWidth="1"/>
    <col min="12047" max="12047" width="8.44140625" style="42" customWidth="1"/>
    <col min="12048" max="12048" width="8.88671875" style="42" customWidth="1"/>
    <col min="12049" max="12049" width="9.33203125" style="42" customWidth="1"/>
    <col min="12050" max="12050" width="8.5546875" style="42" customWidth="1"/>
    <col min="12051" max="12051" width="10.109375" style="42" bestFit="1" customWidth="1"/>
    <col min="12052" max="12052" width="10.5546875" style="42" customWidth="1"/>
    <col min="12053" max="12053" width="6.6640625" style="42" customWidth="1"/>
    <col min="12054" max="12054" width="8.88671875" style="42" customWidth="1"/>
    <col min="12055" max="12055" width="0" style="42" hidden="1" customWidth="1"/>
    <col min="12056" max="12056" width="8.33203125" style="42" customWidth="1"/>
    <col min="12057" max="12057" width="12" style="42" customWidth="1"/>
    <col min="12058" max="12058" width="8.33203125" style="42" bestFit="1" customWidth="1"/>
    <col min="12059" max="12059" width="11" style="42" customWidth="1"/>
    <col min="12060" max="12060" width="8" style="42" customWidth="1"/>
    <col min="12061" max="12061" width="9.5546875" style="42" customWidth="1"/>
    <col min="12062" max="12062" width="8.5546875" style="42" customWidth="1"/>
    <col min="12063" max="12288" width="9.109375" style="42"/>
    <col min="12289" max="12289" width="2.109375" style="42" customWidth="1"/>
    <col min="12290" max="12290" width="1.6640625" style="42" customWidth="1"/>
    <col min="12291" max="12291" width="25.44140625" style="42" bestFit="1" customWidth="1"/>
    <col min="12292" max="12292" width="11.44140625" style="42" customWidth="1"/>
    <col min="12293" max="12293" width="14.109375" style="42" bestFit="1" customWidth="1"/>
    <col min="12294" max="12294" width="14.33203125" style="42" customWidth="1"/>
    <col min="12295" max="12295" width="8.44140625" style="42" customWidth="1"/>
    <col min="12296" max="12296" width="7.6640625" style="42" bestFit="1" customWidth="1"/>
    <col min="12297" max="12298" width="10.33203125" style="42" customWidth="1"/>
    <col min="12299" max="12299" width="11" style="42" customWidth="1"/>
    <col min="12300" max="12300" width="8.33203125" style="42" customWidth="1"/>
    <col min="12301" max="12301" width="8.88671875" style="42" customWidth="1"/>
    <col min="12302" max="12302" width="7.109375" style="42" customWidth="1"/>
    <col min="12303" max="12303" width="8.44140625" style="42" customWidth="1"/>
    <col min="12304" max="12304" width="8.88671875" style="42" customWidth="1"/>
    <col min="12305" max="12305" width="9.33203125" style="42" customWidth="1"/>
    <col min="12306" max="12306" width="8.5546875" style="42" customWidth="1"/>
    <col min="12307" max="12307" width="10.109375" style="42" bestFit="1" customWidth="1"/>
    <col min="12308" max="12308" width="10.5546875" style="42" customWidth="1"/>
    <col min="12309" max="12309" width="6.6640625" style="42" customWidth="1"/>
    <col min="12310" max="12310" width="8.88671875" style="42" customWidth="1"/>
    <col min="12311" max="12311" width="0" style="42" hidden="1" customWidth="1"/>
    <col min="12312" max="12312" width="8.33203125" style="42" customWidth="1"/>
    <col min="12313" max="12313" width="12" style="42" customWidth="1"/>
    <col min="12314" max="12314" width="8.33203125" style="42" bestFit="1" customWidth="1"/>
    <col min="12315" max="12315" width="11" style="42" customWidth="1"/>
    <col min="12316" max="12316" width="8" style="42" customWidth="1"/>
    <col min="12317" max="12317" width="9.5546875" style="42" customWidth="1"/>
    <col min="12318" max="12318" width="8.5546875" style="42" customWidth="1"/>
    <col min="12319" max="12544" width="9.109375" style="42"/>
    <col min="12545" max="12545" width="2.109375" style="42" customWidth="1"/>
    <col min="12546" max="12546" width="1.6640625" style="42" customWidth="1"/>
    <col min="12547" max="12547" width="25.44140625" style="42" bestFit="1" customWidth="1"/>
    <col min="12548" max="12548" width="11.44140625" style="42" customWidth="1"/>
    <col min="12549" max="12549" width="14.109375" style="42" bestFit="1" customWidth="1"/>
    <col min="12550" max="12550" width="14.33203125" style="42" customWidth="1"/>
    <col min="12551" max="12551" width="8.44140625" style="42" customWidth="1"/>
    <col min="12552" max="12552" width="7.6640625" style="42" bestFit="1" customWidth="1"/>
    <col min="12553" max="12554" width="10.33203125" style="42" customWidth="1"/>
    <col min="12555" max="12555" width="11" style="42" customWidth="1"/>
    <col min="12556" max="12556" width="8.33203125" style="42" customWidth="1"/>
    <col min="12557" max="12557" width="8.88671875" style="42" customWidth="1"/>
    <col min="12558" max="12558" width="7.109375" style="42" customWidth="1"/>
    <col min="12559" max="12559" width="8.44140625" style="42" customWidth="1"/>
    <col min="12560" max="12560" width="8.88671875" style="42" customWidth="1"/>
    <col min="12561" max="12561" width="9.33203125" style="42" customWidth="1"/>
    <col min="12562" max="12562" width="8.5546875" style="42" customWidth="1"/>
    <col min="12563" max="12563" width="10.109375" style="42" bestFit="1" customWidth="1"/>
    <col min="12564" max="12564" width="10.5546875" style="42" customWidth="1"/>
    <col min="12565" max="12565" width="6.6640625" style="42" customWidth="1"/>
    <col min="12566" max="12566" width="8.88671875" style="42" customWidth="1"/>
    <col min="12567" max="12567" width="0" style="42" hidden="1" customWidth="1"/>
    <col min="12568" max="12568" width="8.33203125" style="42" customWidth="1"/>
    <col min="12569" max="12569" width="12" style="42" customWidth="1"/>
    <col min="12570" max="12570" width="8.33203125" style="42" bestFit="1" customWidth="1"/>
    <col min="12571" max="12571" width="11" style="42" customWidth="1"/>
    <col min="12572" max="12572" width="8" style="42" customWidth="1"/>
    <col min="12573" max="12573" width="9.5546875" style="42" customWidth="1"/>
    <col min="12574" max="12574" width="8.5546875" style="42" customWidth="1"/>
    <col min="12575" max="12800" width="9.109375" style="42"/>
    <col min="12801" max="12801" width="2.109375" style="42" customWidth="1"/>
    <col min="12802" max="12802" width="1.6640625" style="42" customWidth="1"/>
    <col min="12803" max="12803" width="25.44140625" style="42" bestFit="1" customWidth="1"/>
    <col min="12804" max="12804" width="11.44140625" style="42" customWidth="1"/>
    <col min="12805" max="12805" width="14.109375" style="42" bestFit="1" customWidth="1"/>
    <col min="12806" max="12806" width="14.33203125" style="42" customWidth="1"/>
    <col min="12807" max="12807" width="8.44140625" style="42" customWidth="1"/>
    <col min="12808" max="12808" width="7.6640625" style="42" bestFit="1" customWidth="1"/>
    <col min="12809" max="12810" width="10.33203125" style="42" customWidth="1"/>
    <col min="12811" max="12811" width="11" style="42" customWidth="1"/>
    <col min="12812" max="12812" width="8.33203125" style="42" customWidth="1"/>
    <col min="12813" max="12813" width="8.88671875" style="42" customWidth="1"/>
    <col min="12814" max="12814" width="7.109375" style="42" customWidth="1"/>
    <col min="12815" max="12815" width="8.44140625" style="42" customWidth="1"/>
    <col min="12816" max="12816" width="8.88671875" style="42" customWidth="1"/>
    <col min="12817" max="12817" width="9.33203125" style="42" customWidth="1"/>
    <col min="12818" max="12818" width="8.5546875" style="42" customWidth="1"/>
    <col min="12819" max="12819" width="10.109375" style="42" bestFit="1" customWidth="1"/>
    <col min="12820" max="12820" width="10.5546875" style="42" customWidth="1"/>
    <col min="12821" max="12821" width="6.6640625" style="42" customWidth="1"/>
    <col min="12822" max="12822" width="8.88671875" style="42" customWidth="1"/>
    <col min="12823" max="12823" width="0" style="42" hidden="1" customWidth="1"/>
    <col min="12824" max="12824" width="8.33203125" style="42" customWidth="1"/>
    <col min="12825" max="12825" width="12" style="42" customWidth="1"/>
    <col min="12826" max="12826" width="8.33203125" style="42" bestFit="1" customWidth="1"/>
    <col min="12827" max="12827" width="11" style="42" customWidth="1"/>
    <col min="12828" max="12828" width="8" style="42" customWidth="1"/>
    <col min="12829" max="12829" width="9.5546875" style="42" customWidth="1"/>
    <col min="12830" max="12830" width="8.5546875" style="42" customWidth="1"/>
    <col min="12831" max="13056" width="9.109375" style="42"/>
    <col min="13057" max="13057" width="2.109375" style="42" customWidth="1"/>
    <col min="13058" max="13058" width="1.6640625" style="42" customWidth="1"/>
    <col min="13059" max="13059" width="25.44140625" style="42" bestFit="1" customWidth="1"/>
    <col min="13060" max="13060" width="11.44140625" style="42" customWidth="1"/>
    <col min="13061" max="13061" width="14.109375" style="42" bestFit="1" customWidth="1"/>
    <col min="13062" max="13062" width="14.33203125" style="42" customWidth="1"/>
    <col min="13063" max="13063" width="8.44140625" style="42" customWidth="1"/>
    <col min="13064" max="13064" width="7.6640625" style="42" bestFit="1" customWidth="1"/>
    <col min="13065" max="13066" width="10.33203125" style="42" customWidth="1"/>
    <col min="13067" max="13067" width="11" style="42" customWidth="1"/>
    <col min="13068" max="13068" width="8.33203125" style="42" customWidth="1"/>
    <col min="13069" max="13069" width="8.88671875" style="42" customWidth="1"/>
    <col min="13070" max="13070" width="7.109375" style="42" customWidth="1"/>
    <col min="13071" max="13071" width="8.44140625" style="42" customWidth="1"/>
    <col min="13072" max="13072" width="8.88671875" style="42" customWidth="1"/>
    <col min="13073" max="13073" width="9.33203125" style="42" customWidth="1"/>
    <col min="13074" max="13074" width="8.5546875" style="42" customWidth="1"/>
    <col min="13075" max="13075" width="10.109375" style="42" bestFit="1" customWidth="1"/>
    <col min="13076" max="13076" width="10.5546875" style="42" customWidth="1"/>
    <col min="13077" max="13077" width="6.6640625" style="42" customWidth="1"/>
    <col min="13078" max="13078" width="8.88671875" style="42" customWidth="1"/>
    <col min="13079" max="13079" width="0" style="42" hidden="1" customWidth="1"/>
    <col min="13080" max="13080" width="8.33203125" style="42" customWidth="1"/>
    <col min="13081" max="13081" width="12" style="42" customWidth="1"/>
    <col min="13082" max="13082" width="8.33203125" style="42" bestFit="1" customWidth="1"/>
    <col min="13083" max="13083" width="11" style="42" customWidth="1"/>
    <col min="13084" max="13084" width="8" style="42" customWidth="1"/>
    <col min="13085" max="13085" width="9.5546875" style="42" customWidth="1"/>
    <col min="13086" max="13086" width="8.5546875" style="42" customWidth="1"/>
    <col min="13087" max="13312" width="9.109375" style="42"/>
    <col min="13313" max="13313" width="2.109375" style="42" customWidth="1"/>
    <col min="13314" max="13314" width="1.6640625" style="42" customWidth="1"/>
    <col min="13315" max="13315" width="25.44140625" style="42" bestFit="1" customWidth="1"/>
    <col min="13316" max="13316" width="11.44140625" style="42" customWidth="1"/>
    <col min="13317" max="13317" width="14.109375" style="42" bestFit="1" customWidth="1"/>
    <col min="13318" max="13318" width="14.33203125" style="42" customWidth="1"/>
    <col min="13319" max="13319" width="8.44140625" style="42" customWidth="1"/>
    <col min="13320" max="13320" width="7.6640625" style="42" bestFit="1" customWidth="1"/>
    <col min="13321" max="13322" width="10.33203125" style="42" customWidth="1"/>
    <col min="13323" max="13323" width="11" style="42" customWidth="1"/>
    <col min="13324" max="13324" width="8.33203125" style="42" customWidth="1"/>
    <col min="13325" max="13325" width="8.88671875" style="42" customWidth="1"/>
    <col min="13326" max="13326" width="7.109375" style="42" customWidth="1"/>
    <col min="13327" max="13327" width="8.44140625" style="42" customWidth="1"/>
    <col min="13328" max="13328" width="8.88671875" style="42" customWidth="1"/>
    <col min="13329" max="13329" width="9.33203125" style="42" customWidth="1"/>
    <col min="13330" max="13330" width="8.5546875" style="42" customWidth="1"/>
    <col min="13331" max="13331" width="10.109375" style="42" bestFit="1" customWidth="1"/>
    <col min="13332" max="13332" width="10.5546875" style="42" customWidth="1"/>
    <col min="13333" max="13333" width="6.6640625" style="42" customWidth="1"/>
    <col min="13334" max="13334" width="8.88671875" style="42" customWidth="1"/>
    <col min="13335" max="13335" width="0" style="42" hidden="1" customWidth="1"/>
    <col min="13336" max="13336" width="8.33203125" style="42" customWidth="1"/>
    <col min="13337" max="13337" width="12" style="42" customWidth="1"/>
    <col min="13338" max="13338" width="8.33203125" style="42" bestFit="1" customWidth="1"/>
    <col min="13339" max="13339" width="11" style="42" customWidth="1"/>
    <col min="13340" max="13340" width="8" style="42" customWidth="1"/>
    <col min="13341" max="13341" width="9.5546875" style="42" customWidth="1"/>
    <col min="13342" max="13342" width="8.5546875" style="42" customWidth="1"/>
    <col min="13343" max="13568" width="9.109375" style="42"/>
    <col min="13569" max="13569" width="2.109375" style="42" customWidth="1"/>
    <col min="13570" max="13570" width="1.6640625" style="42" customWidth="1"/>
    <col min="13571" max="13571" width="25.44140625" style="42" bestFit="1" customWidth="1"/>
    <col min="13572" max="13572" width="11.44140625" style="42" customWidth="1"/>
    <col min="13573" max="13573" width="14.109375" style="42" bestFit="1" customWidth="1"/>
    <col min="13574" max="13574" width="14.33203125" style="42" customWidth="1"/>
    <col min="13575" max="13575" width="8.44140625" style="42" customWidth="1"/>
    <col min="13576" max="13576" width="7.6640625" style="42" bestFit="1" customWidth="1"/>
    <col min="13577" max="13578" width="10.33203125" style="42" customWidth="1"/>
    <col min="13579" max="13579" width="11" style="42" customWidth="1"/>
    <col min="13580" max="13580" width="8.33203125" style="42" customWidth="1"/>
    <col min="13581" max="13581" width="8.88671875" style="42" customWidth="1"/>
    <col min="13582" max="13582" width="7.109375" style="42" customWidth="1"/>
    <col min="13583" max="13583" width="8.44140625" style="42" customWidth="1"/>
    <col min="13584" max="13584" width="8.88671875" style="42" customWidth="1"/>
    <col min="13585" max="13585" width="9.33203125" style="42" customWidth="1"/>
    <col min="13586" max="13586" width="8.5546875" style="42" customWidth="1"/>
    <col min="13587" max="13587" width="10.109375" style="42" bestFit="1" customWidth="1"/>
    <col min="13588" max="13588" width="10.5546875" style="42" customWidth="1"/>
    <col min="13589" max="13589" width="6.6640625" style="42" customWidth="1"/>
    <col min="13590" max="13590" width="8.88671875" style="42" customWidth="1"/>
    <col min="13591" max="13591" width="0" style="42" hidden="1" customWidth="1"/>
    <col min="13592" max="13592" width="8.33203125" style="42" customWidth="1"/>
    <col min="13593" max="13593" width="12" style="42" customWidth="1"/>
    <col min="13594" max="13594" width="8.33203125" style="42" bestFit="1" customWidth="1"/>
    <col min="13595" max="13595" width="11" style="42" customWidth="1"/>
    <col min="13596" max="13596" width="8" style="42" customWidth="1"/>
    <col min="13597" max="13597" width="9.5546875" style="42" customWidth="1"/>
    <col min="13598" max="13598" width="8.5546875" style="42" customWidth="1"/>
    <col min="13599" max="13824" width="9.109375" style="42"/>
    <col min="13825" max="13825" width="2.109375" style="42" customWidth="1"/>
    <col min="13826" max="13826" width="1.6640625" style="42" customWidth="1"/>
    <col min="13827" max="13827" width="25.44140625" style="42" bestFit="1" customWidth="1"/>
    <col min="13828" max="13828" width="11.44140625" style="42" customWidth="1"/>
    <col min="13829" max="13829" width="14.109375" style="42" bestFit="1" customWidth="1"/>
    <col min="13830" max="13830" width="14.33203125" style="42" customWidth="1"/>
    <col min="13831" max="13831" width="8.44140625" style="42" customWidth="1"/>
    <col min="13832" max="13832" width="7.6640625" style="42" bestFit="1" customWidth="1"/>
    <col min="13833" max="13834" width="10.33203125" style="42" customWidth="1"/>
    <col min="13835" max="13835" width="11" style="42" customWidth="1"/>
    <col min="13836" max="13836" width="8.33203125" style="42" customWidth="1"/>
    <col min="13837" max="13837" width="8.88671875" style="42" customWidth="1"/>
    <col min="13838" max="13838" width="7.109375" style="42" customWidth="1"/>
    <col min="13839" max="13839" width="8.44140625" style="42" customWidth="1"/>
    <col min="13840" max="13840" width="8.88671875" style="42" customWidth="1"/>
    <col min="13841" max="13841" width="9.33203125" style="42" customWidth="1"/>
    <col min="13842" max="13842" width="8.5546875" style="42" customWidth="1"/>
    <col min="13843" max="13843" width="10.109375" style="42" bestFit="1" customWidth="1"/>
    <col min="13844" max="13844" width="10.5546875" style="42" customWidth="1"/>
    <col min="13845" max="13845" width="6.6640625" style="42" customWidth="1"/>
    <col min="13846" max="13846" width="8.88671875" style="42" customWidth="1"/>
    <col min="13847" max="13847" width="0" style="42" hidden="1" customWidth="1"/>
    <col min="13848" max="13848" width="8.33203125" style="42" customWidth="1"/>
    <col min="13849" max="13849" width="12" style="42" customWidth="1"/>
    <col min="13850" max="13850" width="8.33203125" style="42" bestFit="1" customWidth="1"/>
    <col min="13851" max="13851" width="11" style="42" customWidth="1"/>
    <col min="13852" max="13852" width="8" style="42" customWidth="1"/>
    <col min="13853" max="13853" width="9.5546875" style="42" customWidth="1"/>
    <col min="13854" max="13854" width="8.5546875" style="42" customWidth="1"/>
    <col min="13855" max="14080" width="9.109375" style="42"/>
    <col min="14081" max="14081" width="2.109375" style="42" customWidth="1"/>
    <col min="14082" max="14082" width="1.6640625" style="42" customWidth="1"/>
    <col min="14083" max="14083" width="25.44140625" style="42" bestFit="1" customWidth="1"/>
    <col min="14084" max="14084" width="11.44140625" style="42" customWidth="1"/>
    <col min="14085" max="14085" width="14.109375" style="42" bestFit="1" customWidth="1"/>
    <col min="14086" max="14086" width="14.33203125" style="42" customWidth="1"/>
    <col min="14087" max="14087" width="8.44140625" style="42" customWidth="1"/>
    <col min="14088" max="14088" width="7.6640625" style="42" bestFit="1" customWidth="1"/>
    <col min="14089" max="14090" width="10.33203125" style="42" customWidth="1"/>
    <col min="14091" max="14091" width="11" style="42" customWidth="1"/>
    <col min="14092" max="14092" width="8.33203125" style="42" customWidth="1"/>
    <col min="14093" max="14093" width="8.88671875" style="42" customWidth="1"/>
    <col min="14094" max="14094" width="7.109375" style="42" customWidth="1"/>
    <col min="14095" max="14095" width="8.44140625" style="42" customWidth="1"/>
    <col min="14096" max="14096" width="8.88671875" style="42" customWidth="1"/>
    <col min="14097" max="14097" width="9.33203125" style="42" customWidth="1"/>
    <col min="14098" max="14098" width="8.5546875" style="42" customWidth="1"/>
    <col min="14099" max="14099" width="10.109375" style="42" bestFit="1" customWidth="1"/>
    <col min="14100" max="14100" width="10.5546875" style="42" customWidth="1"/>
    <col min="14101" max="14101" width="6.6640625" style="42" customWidth="1"/>
    <col min="14102" max="14102" width="8.88671875" style="42" customWidth="1"/>
    <col min="14103" max="14103" width="0" style="42" hidden="1" customWidth="1"/>
    <col min="14104" max="14104" width="8.33203125" style="42" customWidth="1"/>
    <col min="14105" max="14105" width="12" style="42" customWidth="1"/>
    <col min="14106" max="14106" width="8.33203125" style="42" bestFit="1" customWidth="1"/>
    <col min="14107" max="14107" width="11" style="42" customWidth="1"/>
    <col min="14108" max="14108" width="8" style="42" customWidth="1"/>
    <col min="14109" max="14109" width="9.5546875" style="42" customWidth="1"/>
    <col min="14110" max="14110" width="8.5546875" style="42" customWidth="1"/>
    <col min="14111" max="14336" width="9.109375" style="42"/>
    <col min="14337" max="14337" width="2.109375" style="42" customWidth="1"/>
    <col min="14338" max="14338" width="1.6640625" style="42" customWidth="1"/>
    <col min="14339" max="14339" width="25.44140625" style="42" bestFit="1" customWidth="1"/>
    <col min="14340" max="14340" width="11.44140625" style="42" customWidth="1"/>
    <col min="14341" max="14341" width="14.109375" style="42" bestFit="1" customWidth="1"/>
    <col min="14342" max="14342" width="14.33203125" style="42" customWidth="1"/>
    <col min="14343" max="14343" width="8.44140625" style="42" customWidth="1"/>
    <col min="14344" max="14344" width="7.6640625" style="42" bestFit="1" customWidth="1"/>
    <col min="14345" max="14346" width="10.33203125" style="42" customWidth="1"/>
    <col min="14347" max="14347" width="11" style="42" customWidth="1"/>
    <col min="14348" max="14348" width="8.33203125" style="42" customWidth="1"/>
    <col min="14349" max="14349" width="8.88671875" style="42" customWidth="1"/>
    <col min="14350" max="14350" width="7.109375" style="42" customWidth="1"/>
    <col min="14351" max="14351" width="8.44140625" style="42" customWidth="1"/>
    <col min="14352" max="14352" width="8.88671875" style="42" customWidth="1"/>
    <col min="14353" max="14353" width="9.33203125" style="42" customWidth="1"/>
    <col min="14354" max="14354" width="8.5546875" style="42" customWidth="1"/>
    <col min="14355" max="14355" width="10.109375" style="42" bestFit="1" customWidth="1"/>
    <col min="14356" max="14356" width="10.5546875" style="42" customWidth="1"/>
    <col min="14357" max="14357" width="6.6640625" style="42" customWidth="1"/>
    <col min="14358" max="14358" width="8.88671875" style="42" customWidth="1"/>
    <col min="14359" max="14359" width="0" style="42" hidden="1" customWidth="1"/>
    <col min="14360" max="14360" width="8.33203125" style="42" customWidth="1"/>
    <col min="14361" max="14361" width="12" style="42" customWidth="1"/>
    <col min="14362" max="14362" width="8.33203125" style="42" bestFit="1" customWidth="1"/>
    <col min="14363" max="14363" width="11" style="42" customWidth="1"/>
    <col min="14364" max="14364" width="8" style="42" customWidth="1"/>
    <col min="14365" max="14365" width="9.5546875" style="42" customWidth="1"/>
    <col min="14366" max="14366" width="8.5546875" style="42" customWidth="1"/>
    <col min="14367" max="14592" width="9.109375" style="42"/>
    <col min="14593" max="14593" width="2.109375" style="42" customWidth="1"/>
    <col min="14594" max="14594" width="1.6640625" style="42" customWidth="1"/>
    <col min="14595" max="14595" width="25.44140625" style="42" bestFit="1" customWidth="1"/>
    <col min="14596" max="14596" width="11.44140625" style="42" customWidth="1"/>
    <col min="14597" max="14597" width="14.109375" style="42" bestFit="1" customWidth="1"/>
    <col min="14598" max="14598" width="14.33203125" style="42" customWidth="1"/>
    <col min="14599" max="14599" width="8.44140625" style="42" customWidth="1"/>
    <col min="14600" max="14600" width="7.6640625" style="42" bestFit="1" customWidth="1"/>
    <col min="14601" max="14602" width="10.33203125" style="42" customWidth="1"/>
    <col min="14603" max="14603" width="11" style="42" customWidth="1"/>
    <col min="14604" max="14604" width="8.33203125" style="42" customWidth="1"/>
    <col min="14605" max="14605" width="8.88671875" style="42" customWidth="1"/>
    <col min="14606" max="14606" width="7.109375" style="42" customWidth="1"/>
    <col min="14607" max="14607" width="8.44140625" style="42" customWidth="1"/>
    <col min="14608" max="14608" width="8.88671875" style="42" customWidth="1"/>
    <col min="14609" max="14609" width="9.33203125" style="42" customWidth="1"/>
    <col min="14610" max="14610" width="8.5546875" style="42" customWidth="1"/>
    <col min="14611" max="14611" width="10.109375" style="42" bestFit="1" customWidth="1"/>
    <col min="14612" max="14612" width="10.5546875" style="42" customWidth="1"/>
    <col min="14613" max="14613" width="6.6640625" style="42" customWidth="1"/>
    <col min="14614" max="14614" width="8.88671875" style="42" customWidth="1"/>
    <col min="14615" max="14615" width="0" style="42" hidden="1" customWidth="1"/>
    <col min="14616" max="14616" width="8.33203125" style="42" customWidth="1"/>
    <col min="14617" max="14617" width="12" style="42" customWidth="1"/>
    <col min="14618" max="14618" width="8.33203125" style="42" bestFit="1" customWidth="1"/>
    <col min="14619" max="14619" width="11" style="42" customWidth="1"/>
    <col min="14620" max="14620" width="8" style="42" customWidth="1"/>
    <col min="14621" max="14621" width="9.5546875" style="42" customWidth="1"/>
    <col min="14622" max="14622" width="8.5546875" style="42" customWidth="1"/>
    <col min="14623" max="14848" width="9.109375" style="42"/>
    <col min="14849" max="14849" width="2.109375" style="42" customWidth="1"/>
    <col min="14850" max="14850" width="1.6640625" style="42" customWidth="1"/>
    <col min="14851" max="14851" width="25.44140625" style="42" bestFit="1" customWidth="1"/>
    <col min="14852" max="14852" width="11.44140625" style="42" customWidth="1"/>
    <col min="14853" max="14853" width="14.109375" style="42" bestFit="1" customWidth="1"/>
    <col min="14854" max="14854" width="14.33203125" style="42" customWidth="1"/>
    <col min="14855" max="14855" width="8.44140625" style="42" customWidth="1"/>
    <col min="14856" max="14856" width="7.6640625" style="42" bestFit="1" customWidth="1"/>
    <col min="14857" max="14858" width="10.33203125" style="42" customWidth="1"/>
    <col min="14859" max="14859" width="11" style="42" customWidth="1"/>
    <col min="14860" max="14860" width="8.33203125" style="42" customWidth="1"/>
    <col min="14861" max="14861" width="8.88671875" style="42" customWidth="1"/>
    <col min="14862" max="14862" width="7.109375" style="42" customWidth="1"/>
    <col min="14863" max="14863" width="8.44140625" style="42" customWidth="1"/>
    <col min="14864" max="14864" width="8.88671875" style="42" customWidth="1"/>
    <col min="14865" max="14865" width="9.33203125" style="42" customWidth="1"/>
    <col min="14866" max="14866" width="8.5546875" style="42" customWidth="1"/>
    <col min="14867" max="14867" width="10.109375" style="42" bestFit="1" customWidth="1"/>
    <col min="14868" max="14868" width="10.5546875" style="42" customWidth="1"/>
    <col min="14869" max="14869" width="6.6640625" style="42" customWidth="1"/>
    <col min="14870" max="14870" width="8.88671875" style="42" customWidth="1"/>
    <col min="14871" max="14871" width="0" style="42" hidden="1" customWidth="1"/>
    <col min="14872" max="14872" width="8.33203125" style="42" customWidth="1"/>
    <col min="14873" max="14873" width="12" style="42" customWidth="1"/>
    <col min="14874" max="14874" width="8.33203125" style="42" bestFit="1" customWidth="1"/>
    <col min="14875" max="14875" width="11" style="42" customWidth="1"/>
    <col min="14876" max="14876" width="8" style="42" customWidth="1"/>
    <col min="14877" max="14877" width="9.5546875" style="42" customWidth="1"/>
    <col min="14878" max="14878" width="8.5546875" style="42" customWidth="1"/>
    <col min="14879" max="15104" width="9.109375" style="42"/>
    <col min="15105" max="15105" width="2.109375" style="42" customWidth="1"/>
    <col min="15106" max="15106" width="1.6640625" style="42" customWidth="1"/>
    <col min="15107" max="15107" width="25.44140625" style="42" bestFit="1" customWidth="1"/>
    <col min="15108" max="15108" width="11.44140625" style="42" customWidth="1"/>
    <col min="15109" max="15109" width="14.109375" style="42" bestFit="1" customWidth="1"/>
    <col min="15110" max="15110" width="14.33203125" style="42" customWidth="1"/>
    <col min="15111" max="15111" width="8.44140625" style="42" customWidth="1"/>
    <col min="15112" max="15112" width="7.6640625" style="42" bestFit="1" customWidth="1"/>
    <col min="15113" max="15114" width="10.33203125" style="42" customWidth="1"/>
    <col min="15115" max="15115" width="11" style="42" customWidth="1"/>
    <col min="15116" max="15116" width="8.33203125" style="42" customWidth="1"/>
    <col min="15117" max="15117" width="8.88671875" style="42" customWidth="1"/>
    <col min="15118" max="15118" width="7.109375" style="42" customWidth="1"/>
    <col min="15119" max="15119" width="8.44140625" style="42" customWidth="1"/>
    <col min="15120" max="15120" width="8.88671875" style="42" customWidth="1"/>
    <col min="15121" max="15121" width="9.33203125" style="42" customWidth="1"/>
    <col min="15122" max="15122" width="8.5546875" style="42" customWidth="1"/>
    <col min="15123" max="15123" width="10.109375" style="42" bestFit="1" customWidth="1"/>
    <col min="15124" max="15124" width="10.5546875" style="42" customWidth="1"/>
    <col min="15125" max="15125" width="6.6640625" style="42" customWidth="1"/>
    <col min="15126" max="15126" width="8.88671875" style="42" customWidth="1"/>
    <col min="15127" max="15127" width="0" style="42" hidden="1" customWidth="1"/>
    <col min="15128" max="15128" width="8.33203125" style="42" customWidth="1"/>
    <col min="15129" max="15129" width="12" style="42" customWidth="1"/>
    <col min="15130" max="15130" width="8.33203125" style="42" bestFit="1" customWidth="1"/>
    <col min="15131" max="15131" width="11" style="42" customWidth="1"/>
    <col min="15132" max="15132" width="8" style="42" customWidth="1"/>
    <col min="15133" max="15133" width="9.5546875" style="42" customWidth="1"/>
    <col min="15134" max="15134" width="8.5546875" style="42" customWidth="1"/>
    <col min="15135" max="15360" width="9.109375" style="42"/>
    <col min="15361" max="15361" width="2.109375" style="42" customWidth="1"/>
    <col min="15362" max="15362" width="1.6640625" style="42" customWidth="1"/>
    <col min="15363" max="15363" width="25.44140625" style="42" bestFit="1" customWidth="1"/>
    <col min="15364" max="15364" width="11.44140625" style="42" customWidth="1"/>
    <col min="15365" max="15365" width="14.109375" style="42" bestFit="1" customWidth="1"/>
    <col min="15366" max="15366" width="14.33203125" style="42" customWidth="1"/>
    <col min="15367" max="15367" width="8.44140625" style="42" customWidth="1"/>
    <col min="15368" max="15368" width="7.6640625" style="42" bestFit="1" customWidth="1"/>
    <col min="15369" max="15370" width="10.33203125" style="42" customWidth="1"/>
    <col min="15371" max="15371" width="11" style="42" customWidth="1"/>
    <col min="15372" max="15372" width="8.33203125" style="42" customWidth="1"/>
    <col min="15373" max="15373" width="8.88671875" style="42" customWidth="1"/>
    <col min="15374" max="15374" width="7.109375" style="42" customWidth="1"/>
    <col min="15375" max="15375" width="8.44140625" style="42" customWidth="1"/>
    <col min="15376" max="15376" width="8.88671875" style="42" customWidth="1"/>
    <col min="15377" max="15377" width="9.33203125" style="42" customWidth="1"/>
    <col min="15378" max="15378" width="8.5546875" style="42" customWidth="1"/>
    <col min="15379" max="15379" width="10.109375" style="42" bestFit="1" customWidth="1"/>
    <col min="15380" max="15380" width="10.5546875" style="42" customWidth="1"/>
    <col min="15381" max="15381" width="6.6640625" style="42" customWidth="1"/>
    <col min="15382" max="15382" width="8.88671875" style="42" customWidth="1"/>
    <col min="15383" max="15383" width="0" style="42" hidden="1" customWidth="1"/>
    <col min="15384" max="15384" width="8.33203125" style="42" customWidth="1"/>
    <col min="15385" max="15385" width="12" style="42" customWidth="1"/>
    <col min="15386" max="15386" width="8.33203125" style="42" bestFit="1" customWidth="1"/>
    <col min="15387" max="15387" width="11" style="42" customWidth="1"/>
    <col min="15388" max="15388" width="8" style="42" customWidth="1"/>
    <col min="15389" max="15389" width="9.5546875" style="42" customWidth="1"/>
    <col min="15390" max="15390" width="8.5546875" style="42" customWidth="1"/>
    <col min="15391" max="15616" width="9.109375" style="42"/>
    <col min="15617" max="15617" width="2.109375" style="42" customWidth="1"/>
    <col min="15618" max="15618" width="1.6640625" style="42" customWidth="1"/>
    <col min="15619" max="15619" width="25.44140625" style="42" bestFit="1" customWidth="1"/>
    <col min="15620" max="15620" width="11.44140625" style="42" customWidth="1"/>
    <col min="15621" max="15621" width="14.109375" style="42" bestFit="1" customWidth="1"/>
    <col min="15622" max="15622" width="14.33203125" style="42" customWidth="1"/>
    <col min="15623" max="15623" width="8.44140625" style="42" customWidth="1"/>
    <col min="15624" max="15624" width="7.6640625" style="42" bestFit="1" customWidth="1"/>
    <col min="15625" max="15626" width="10.33203125" style="42" customWidth="1"/>
    <col min="15627" max="15627" width="11" style="42" customWidth="1"/>
    <col min="15628" max="15628" width="8.33203125" style="42" customWidth="1"/>
    <col min="15629" max="15629" width="8.88671875" style="42" customWidth="1"/>
    <col min="15630" max="15630" width="7.109375" style="42" customWidth="1"/>
    <col min="15631" max="15631" width="8.44140625" style="42" customWidth="1"/>
    <col min="15632" max="15632" width="8.88671875" style="42" customWidth="1"/>
    <col min="15633" max="15633" width="9.33203125" style="42" customWidth="1"/>
    <col min="15634" max="15634" width="8.5546875" style="42" customWidth="1"/>
    <col min="15635" max="15635" width="10.109375" style="42" bestFit="1" customWidth="1"/>
    <col min="15636" max="15636" width="10.5546875" style="42" customWidth="1"/>
    <col min="15637" max="15637" width="6.6640625" style="42" customWidth="1"/>
    <col min="15638" max="15638" width="8.88671875" style="42" customWidth="1"/>
    <col min="15639" max="15639" width="0" style="42" hidden="1" customWidth="1"/>
    <col min="15640" max="15640" width="8.33203125" style="42" customWidth="1"/>
    <col min="15641" max="15641" width="12" style="42" customWidth="1"/>
    <col min="15642" max="15642" width="8.33203125" style="42" bestFit="1" customWidth="1"/>
    <col min="15643" max="15643" width="11" style="42" customWidth="1"/>
    <col min="15644" max="15644" width="8" style="42" customWidth="1"/>
    <col min="15645" max="15645" width="9.5546875" style="42" customWidth="1"/>
    <col min="15646" max="15646" width="8.5546875" style="42" customWidth="1"/>
    <col min="15647" max="15872" width="9.109375" style="42"/>
    <col min="15873" max="15873" width="2.109375" style="42" customWidth="1"/>
    <col min="15874" max="15874" width="1.6640625" style="42" customWidth="1"/>
    <col min="15875" max="15875" width="25.44140625" style="42" bestFit="1" customWidth="1"/>
    <col min="15876" max="15876" width="11.44140625" style="42" customWidth="1"/>
    <col min="15877" max="15877" width="14.109375" style="42" bestFit="1" customWidth="1"/>
    <col min="15878" max="15878" width="14.33203125" style="42" customWidth="1"/>
    <col min="15879" max="15879" width="8.44140625" style="42" customWidth="1"/>
    <col min="15880" max="15880" width="7.6640625" style="42" bestFit="1" customWidth="1"/>
    <col min="15881" max="15882" width="10.33203125" style="42" customWidth="1"/>
    <col min="15883" max="15883" width="11" style="42" customWidth="1"/>
    <col min="15884" max="15884" width="8.33203125" style="42" customWidth="1"/>
    <col min="15885" max="15885" width="8.88671875" style="42" customWidth="1"/>
    <col min="15886" max="15886" width="7.109375" style="42" customWidth="1"/>
    <col min="15887" max="15887" width="8.44140625" style="42" customWidth="1"/>
    <col min="15888" max="15888" width="8.88671875" style="42" customWidth="1"/>
    <col min="15889" max="15889" width="9.33203125" style="42" customWidth="1"/>
    <col min="15890" max="15890" width="8.5546875" style="42" customWidth="1"/>
    <col min="15891" max="15891" width="10.109375" style="42" bestFit="1" customWidth="1"/>
    <col min="15892" max="15892" width="10.5546875" style="42" customWidth="1"/>
    <col min="15893" max="15893" width="6.6640625" style="42" customWidth="1"/>
    <col min="15894" max="15894" width="8.88671875" style="42" customWidth="1"/>
    <col min="15895" max="15895" width="0" style="42" hidden="1" customWidth="1"/>
    <col min="15896" max="15896" width="8.33203125" style="42" customWidth="1"/>
    <col min="15897" max="15897" width="12" style="42" customWidth="1"/>
    <col min="15898" max="15898" width="8.33203125" style="42" bestFit="1" customWidth="1"/>
    <col min="15899" max="15899" width="11" style="42" customWidth="1"/>
    <col min="15900" max="15900" width="8" style="42" customWidth="1"/>
    <col min="15901" max="15901" width="9.5546875" style="42" customWidth="1"/>
    <col min="15902" max="15902" width="8.5546875" style="42" customWidth="1"/>
    <col min="15903" max="16128" width="9.109375" style="42"/>
    <col min="16129" max="16129" width="2.109375" style="42" customWidth="1"/>
    <col min="16130" max="16130" width="1.6640625" style="42" customWidth="1"/>
    <col min="16131" max="16131" width="25.44140625" style="42" bestFit="1" customWidth="1"/>
    <col min="16132" max="16132" width="11.44140625" style="42" customWidth="1"/>
    <col min="16133" max="16133" width="14.109375" style="42" bestFit="1" customWidth="1"/>
    <col min="16134" max="16134" width="14.33203125" style="42" customWidth="1"/>
    <col min="16135" max="16135" width="8.44140625" style="42" customWidth="1"/>
    <col min="16136" max="16136" width="7.6640625" style="42" bestFit="1" customWidth="1"/>
    <col min="16137" max="16138" width="10.33203125" style="42" customWidth="1"/>
    <col min="16139" max="16139" width="11" style="42" customWidth="1"/>
    <col min="16140" max="16140" width="8.33203125" style="42" customWidth="1"/>
    <col min="16141" max="16141" width="8.88671875" style="42" customWidth="1"/>
    <col min="16142" max="16142" width="7.109375" style="42" customWidth="1"/>
    <col min="16143" max="16143" width="8.44140625" style="42" customWidth="1"/>
    <col min="16144" max="16144" width="8.88671875" style="42" customWidth="1"/>
    <col min="16145" max="16145" width="9.33203125" style="42" customWidth="1"/>
    <col min="16146" max="16146" width="8.5546875" style="42" customWidth="1"/>
    <col min="16147" max="16147" width="10.109375" style="42" bestFit="1" customWidth="1"/>
    <col min="16148" max="16148" width="10.5546875" style="42" customWidth="1"/>
    <col min="16149" max="16149" width="6.6640625" style="42" customWidth="1"/>
    <col min="16150" max="16150" width="8.88671875" style="42" customWidth="1"/>
    <col min="16151" max="16151" width="0" style="42" hidden="1" customWidth="1"/>
    <col min="16152" max="16152" width="8.33203125" style="42" customWidth="1"/>
    <col min="16153" max="16153" width="12" style="42" customWidth="1"/>
    <col min="16154" max="16154" width="8.33203125" style="42" bestFit="1" customWidth="1"/>
    <col min="16155" max="16155" width="11" style="42" customWidth="1"/>
    <col min="16156" max="16156" width="8" style="42" customWidth="1"/>
    <col min="16157" max="16157" width="9.5546875" style="42" customWidth="1"/>
    <col min="16158" max="16158" width="8.5546875" style="42" customWidth="1"/>
    <col min="16159" max="16384" width="9.109375" style="42"/>
  </cols>
  <sheetData>
    <row r="1" spans="1:6" ht="60" customHeight="1" x14ac:dyDescent="0.25">
      <c r="A1" s="27" t="s">
        <v>177</v>
      </c>
    </row>
    <row r="2" spans="1:6" ht="41.25" customHeight="1" x14ac:dyDescent="0.6">
      <c r="A2" s="50" t="s">
        <v>148</v>
      </c>
      <c r="E2" s="28" t="s">
        <v>178</v>
      </c>
    </row>
    <row r="3" spans="1:6" ht="36.75" customHeight="1" x14ac:dyDescent="0.6">
      <c r="A3" s="46" t="s">
        <v>149</v>
      </c>
      <c r="E3" s="28" t="s">
        <v>178</v>
      </c>
    </row>
    <row r="4" spans="1:6" ht="28.8" x14ac:dyDescent="0.3">
      <c r="A4" s="47" t="s">
        <v>150</v>
      </c>
      <c r="C4" s="11" t="s">
        <v>179</v>
      </c>
    </row>
    <row r="5" spans="1:6" ht="47.25" customHeight="1" x14ac:dyDescent="0.25">
      <c r="A5" s="46" t="s">
        <v>151</v>
      </c>
      <c r="C5" s="8" t="s">
        <v>182</v>
      </c>
      <c r="E5" s="43" t="s">
        <v>180</v>
      </c>
      <c r="F5" s="43" t="s">
        <v>181</v>
      </c>
    </row>
    <row r="6" spans="1:6" ht="28.8" x14ac:dyDescent="0.3">
      <c r="A6" s="47" t="s">
        <v>152</v>
      </c>
      <c r="C6" s="11" t="s">
        <v>183</v>
      </c>
    </row>
    <row r="7" spans="1:6" ht="28.8" x14ac:dyDescent="0.3">
      <c r="A7" s="47" t="s">
        <v>153</v>
      </c>
      <c r="C7" s="11" t="s">
        <v>183</v>
      </c>
    </row>
    <row r="8" spans="1:6" ht="24.9" customHeight="1" x14ac:dyDescent="0.25">
      <c r="A8" s="46" t="s">
        <v>154</v>
      </c>
      <c r="C8" s="43" t="s">
        <v>184</v>
      </c>
    </row>
    <row r="9" spans="1:6" ht="24.9" customHeight="1" x14ac:dyDescent="0.25">
      <c r="A9" s="47" t="s">
        <v>155</v>
      </c>
      <c r="C9" s="43" t="s">
        <v>184</v>
      </c>
    </row>
    <row r="10" spans="1:6" ht="24.9" customHeight="1" x14ac:dyDescent="0.25">
      <c r="A10" s="46" t="s">
        <v>156</v>
      </c>
      <c r="C10" s="43" t="s">
        <v>184</v>
      </c>
    </row>
    <row r="11" spans="1:6" ht="24.9" customHeight="1" x14ac:dyDescent="0.25">
      <c r="A11" s="46" t="s">
        <v>157</v>
      </c>
      <c r="C11" s="43" t="s">
        <v>184</v>
      </c>
    </row>
    <row r="12" spans="1:6" ht="24.9" customHeight="1" x14ac:dyDescent="0.25">
      <c r="A12" s="46" t="s">
        <v>158</v>
      </c>
      <c r="C12" s="43" t="s">
        <v>184</v>
      </c>
    </row>
    <row r="13" spans="1:6" ht="24.9" customHeight="1" x14ac:dyDescent="0.25">
      <c r="A13" s="46" t="s">
        <v>159</v>
      </c>
      <c r="C13" s="43" t="s">
        <v>184</v>
      </c>
    </row>
    <row r="14" spans="1:6" ht="24.9" customHeight="1" x14ac:dyDescent="0.25">
      <c r="A14" s="46" t="s">
        <v>160</v>
      </c>
      <c r="C14" s="43" t="s">
        <v>184</v>
      </c>
    </row>
    <row r="15" spans="1:6" ht="24.9" customHeight="1" x14ac:dyDescent="0.25">
      <c r="A15" s="46" t="s">
        <v>159</v>
      </c>
      <c r="C15" s="43" t="s">
        <v>184</v>
      </c>
    </row>
    <row r="16" spans="1:6" ht="24.9" customHeight="1" x14ac:dyDescent="0.25">
      <c r="A16" s="46" t="s">
        <v>161</v>
      </c>
      <c r="C16" s="43" t="s">
        <v>184</v>
      </c>
    </row>
    <row r="17" spans="1:6" ht="24.9" customHeight="1" x14ac:dyDescent="0.25">
      <c r="A17" s="46" t="s">
        <v>162</v>
      </c>
      <c r="C17" s="43" t="s">
        <v>184</v>
      </c>
    </row>
    <row r="18" spans="1:6" ht="24.9" customHeight="1" x14ac:dyDescent="0.25">
      <c r="A18" s="46" t="s">
        <v>163</v>
      </c>
      <c r="C18" s="43" t="s">
        <v>184</v>
      </c>
    </row>
    <row r="19" spans="1:6" ht="24.9" customHeight="1" x14ac:dyDescent="0.25">
      <c r="A19" s="46" t="s">
        <v>164</v>
      </c>
      <c r="C19" s="43" t="s">
        <v>184</v>
      </c>
    </row>
    <row r="20" spans="1:6" ht="51" x14ac:dyDescent="0.25">
      <c r="A20" s="46" t="s">
        <v>165</v>
      </c>
      <c r="C20" s="8" t="s">
        <v>185</v>
      </c>
      <c r="E20" s="43" t="s">
        <v>187</v>
      </c>
      <c r="F20" s="43" t="s">
        <v>186</v>
      </c>
    </row>
    <row r="21" spans="1:6" x14ac:dyDescent="0.25">
      <c r="A21" s="46" t="s">
        <v>257</v>
      </c>
      <c r="C21" s="8"/>
    </row>
    <row r="22" spans="1:6" ht="28.8" x14ac:dyDescent="0.3">
      <c r="A22" s="48" t="s">
        <v>166</v>
      </c>
      <c r="C22" s="11" t="s">
        <v>188</v>
      </c>
    </row>
    <row r="23" spans="1:6" ht="14.4" x14ac:dyDescent="0.3">
      <c r="A23" s="47" t="s">
        <v>168</v>
      </c>
      <c r="C23" s="11" t="s">
        <v>190</v>
      </c>
    </row>
    <row r="24" spans="1:6" ht="14.4" x14ac:dyDescent="0.3">
      <c r="A24" s="47" t="s">
        <v>169</v>
      </c>
      <c r="C24" s="11" t="s">
        <v>190</v>
      </c>
    </row>
    <row r="25" spans="1:6" ht="14.4" x14ac:dyDescent="0.3">
      <c r="A25" s="47" t="s">
        <v>170</v>
      </c>
      <c r="C25" s="11" t="s">
        <v>190</v>
      </c>
    </row>
    <row r="26" spans="1:6" ht="14.4" x14ac:dyDescent="0.3">
      <c r="A26" s="47" t="s">
        <v>171</v>
      </c>
      <c r="C26" s="11" t="s">
        <v>190</v>
      </c>
    </row>
    <row r="27" spans="1:6" ht="14.4" x14ac:dyDescent="0.3">
      <c r="A27" s="47" t="s">
        <v>172</v>
      </c>
      <c r="C27" s="11" t="s">
        <v>190</v>
      </c>
    </row>
    <row r="28" spans="1:6" ht="14.4" x14ac:dyDescent="0.3">
      <c r="A28" s="49" t="s">
        <v>173</v>
      </c>
      <c r="C28" s="11" t="s">
        <v>190</v>
      </c>
    </row>
    <row r="29" spans="1:6" ht="14.4" x14ac:dyDescent="0.3">
      <c r="A29" s="47" t="s">
        <v>174</v>
      </c>
      <c r="C29" s="11" t="s">
        <v>190</v>
      </c>
    </row>
    <row r="30" spans="1:6" ht="14.4" x14ac:dyDescent="0.3">
      <c r="A30" s="47" t="s">
        <v>175</v>
      </c>
      <c r="C30" s="11" t="s">
        <v>190</v>
      </c>
    </row>
    <row r="31" spans="1:6" ht="14.4" x14ac:dyDescent="0.3">
      <c r="A31" s="47" t="s">
        <v>176</v>
      </c>
      <c r="C31" s="11" t="s">
        <v>190</v>
      </c>
    </row>
    <row r="32" spans="1:6" ht="14.4" x14ac:dyDescent="0.3">
      <c r="A32" s="48" t="s">
        <v>167</v>
      </c>
      <c r="C32" s="11" t="s">
        <v>189</v>
      </c>
    </row>
  </sheetData>
  <pageMargins left="0.16" right="0.21" top="0.31" bottom="0.37" header="0.22" footer="0.3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5FBD-7C82-4706-86FC-7A4D8D09FFC5}">
  <sheetPr>
    <tabColor rgb="FF92D050"/>
  </sheetPr>
  <dimension ref="A1:I108"/>
  <sheetViews>
    <sheetView view="pageBreakPreview" zoomScale="85" zoomScaleNormal="100" zoomScaleSheetLayoutView="85" workbookViewId="0">
      <selection activeCell="J23" sqref="J23"/>
    </sheetView>
  </sheetViews>
  <sheetFormatPr defaultRowHeight="14.4" x14ac:dyDescent="0.3"/>
  <cols>
    <col min="1" max="1" width="18.6640625" style="61" bestFit="1" customWidth="1"/>
    <col min="2" max="2" width="5.6640625" style="61" customWidth="1"/>
    <col min="3" max="3" width="30.109375" style="61" customWidth="1"/>
    <col min="4" max="4" width="24.5546875" style="61" bestFit="1" customWidth="1"/>
    <col min="5" max="5" width="7.44140625" style="61" customWidth="1"/>
    <col min="6" max="6" width="8.44140625" style="61" customWidth="1"/>
    <col min="7" max="7" width="4.109375" style="61" bestFit="1" customWidth="1"/>
    <col min="8" max="8" width="7.6640625" style="61" customWidth="1"/>
    <col min="9" max="9" width="11.5546875" style="61" customWidth="1"/>
  </cols>
  <sheetData>
    <row r="1" spans="1:9" ht="23.4" customHeight="1" x14ac:dyDescent="0.3">
      <c r="A1" s="69" t="s">
        <v>271</v>
      </c>
      <c r="B1" s="66"/>
      <c r="C1" s="67"/>
      <c r="D1" s="66"/>
      <c r="E1" s="66"/>
      <c r="F1" s="66"/>
      <c r="G1" s="66"/>
      <c r="H1" s="66"/>
      <c r="I1" s="66"/>
    </row>
    <row r="3" spans="1:9" x14ac:dyDescent="0.3">
      <c r="A3" s="89" t="s">
        <v>364</v>
      </c>
    </row>
    <row r="5" spans="1:9" x14ac:dyDescent="0.3">
      <c r="C5" s="61" t="s">
        <v>322</v>
      </c>
    </row>
    <row r="6" spans="1:9" x14ac:dyDescent="0.3">
      <c r="C6" s="61" t="s">
        <v>323</v>
      </c>
    </row>
    <row r="7" spans="1:9" x14ac:dyDescent="0.3">
      <c r="C7" s="61" t="s">
        <v>324</v>
      </c>
    </row>
    <row r="8" spans="1:9" x14ac:dyDescent="0.3">
      <c r="C8" s="61" t="s">
        <v>292</v>
      </c>
    </row>
    <row r="9" spans="1:9" x14ac:dyDescent="0.3">
      <c r="C9" s="61" t="s">
        <v>325</v>
      </c>
    </row>
    <row r="10" spans="1:9" x14ac:dyDescent="0.3">
      <c r="C10" s="61" t="s">
        <v>326</v>
      </c>
    </row>
    <row r="11" spans="1:9" x14ac:dyDescent="0.3">
      <c r="C11" s="61" t="s">
        <v>327</v>
      </c>
    </row>
    <row r="12" spans="1:9" x14ac:dyDescent="0.3">
      <c r="C12" s="61" t="s">
        <v>328</v>
      </c>
    </row>
    <row r="13" spans="1:9" x14ac:dyDescent="0.3">
      <c r="C13" s="61" t="s">
        <v>329</v>
      </c>
    </row>
    <row r="14" spans="1:9" x14ac:dyDescent="0.3">
      <c r="C14" s="61" t="s">
        <v>330</v>
      </c>
    </row>
    <row r="15" spans="1:9" x14ac:dyDescent="0.3">
      <c r="C15" s="61" t="s">
        <v>331</v>
      </c>
    </row>
    <row r="16" spans="1:9" x14ac:dyDescent="0.3">
      <c r="C16" s="61" t="s">
        <v>332</v>
      </c>
    </row>
    <row r="17" spans="3:3" x14ac:dyDescent="0.3">
      <c r="C17" s="61" t="s">
        <v>292</v>
      </c>
    </row>
    <row r="18" spans="3:3" x14ac:dyDescent="0.3">
      <c r="C18" s="61" t="s">
        <v>325</v>
      </c>
    </row>
    <row r="19" spans="3:3" x14ac:dyDescent="0.3">
      <c r="C19" s="61" t="s">
        <v>333</v>
      </c>
    </row>
    <row r="20" spans="3:3" x14ac:dyDescent="0.3">
      <c r="C20" s="61" t="s">
        <v>334</v>
      </c>
    </row>
    <row r="21" spans="3:3" x14ac:dyDescent="0.3">
      <c r="C21" s="61" t="s">
        <v>335</v>
      </c>
    </row>
    <row r="22" spans="3:3" x14ac:dyDescent="0.3">
      <c r="C22" s="61" t="s">
        <v>336</v>
      </c>
    </row>
    <row r="23" spans="3:3" x14ac:dyDescent="0.3">
      <c r="C23" s="61" t="s">
        <v>332</v>
      </c>
    </row>
    <row r="24" spans="3:3" x14ac:dyDescent="0.3">
      <c r="C24" s="61" t="s">
        <v>292</v>
      </c>
    </row>
    <row r="25" spans="3:3" x14ac:dyDescent="0.3">
      <c r="C25" s="61" t="s">
        <v>325</v>
      </c>
    </row>
    <row r="26" spans="3:3" x14ac:dyDescent="0.3">
      <c r="C26" s="61" t="s">
        <v>337</v>
      </c>
    </row>
    <row r="27" spans="3:3" x14ac:dyDescent="0.3">
      <c r="C27" s="61" t="s">
        <v>332</v>
      </c>
    </row>
    <row r="28" spans="3:3" x14ac:dyDescent="0.3">
      <c r="C28" s="61" t="s">
        <v>292</v>
      </c>
    </row>
    <row r="29" spans="3:3" x14ac:dyDescent="0.3">
      <c r="C29" s="61" t="s">
        <v>325</v>
      </c>
    </row>
    <row r="30" spans="3:3" x14ac:dyDescent="0.3">
      <c r="C30" s="61" t="s">
        <v>338</v>
      </c>
    </row>
    <row r="31" spans="3:3" x14ac:dyDescent="0.3">
      <c r="C31" s="61" t="s">
        <v>332</v>
      </c>
    </row>
    <row r="32" spans="3:3" x14ac:dyDescent="0.3">
      <c r="C32" s="61" t="s">
        <v>292</v>
      </c>
    </row>
    <row r="33" spans="3:3" x14ac:dyDescent="0.3">
      <c r="C33" s="61" t="s">
        <v>325</v>
      </c>
    </row>
    <row r="34" spans="3:3" x14ac:dyDescent="0.3">
      <c r="C34" s="61" t="s">
        <v>339</v>
      </c>
    </row>
    <row r="35" spans="3:3" x14ac:dyDescent="0.3">
      <c r="C35" s="61" t="s">
        <v>340</v>
      </c>
    </row>
    <row r="36" spans="3:3" x14ac:dyDescent="0.3">
      <c r="C36" s="61" t="s">
        <v>341</v>
      </c>
    </row>
    <row r="37" spans="3:3" x14ac:dyDescent="0.3">
      <c r="C37" s="61" t="s">
        <v>342</v>
      </c>
    </row>
    <row r="38" spans="3:3" x14ac:dyDescent="0.3">
      <c r="C38" s="61" t="s">
        <v>343</v>
      </c>
    </row>
    <row r="39" spans="3:3" x14ac:dyDescent="0.3">
      <c r="C39" s="61" t="s">
        <v>344</v>
      </c>
    </row>
    <row r="40" spans="3:3" x14ac:dyDescent="0.3">
      <c r="C40" s="61" t="s">
        <v>345</v>
      </c>
    </row>
    <row r="41" spans="3:3" x14ac:dyDescent="0.3">
      <c r="C41" s="61" t="s">
        <v>346</v>
      </c>
    </row>
    <row r="42" spans="3:3" x14ac:dyDescent="0.3">
      <c r="C42" s="61" t="s">
        <v>347</v>
      </c>
    </row>
    <row r="43" spans="3:3" x14ac:dyDescent="0.3">
      <c r="C43" s="61" t="s">
        <v>348</v>
      </c>
    </row>
    <row r="44" spans="3:3" x14ac:dyDescent="0.3">
      <c r="C44" s="61" t="s">
        <v>349</v>
      </c>
    </row>
    <row r="45" spans="3:3" x14ac:dyDescent="0.3">
      <c r="C45" s="61" t="s">
        <v>350</v>
      </c>
    </row>
    <row r="46" spans="3:3" x14ac:dyDescent="0.3">
      <c r="C46" s="61" t="s">
        <v>351</v>
      </c>
    </row>
    <row r="47" spans="3:3" x14ac:dyDescent="0.3">
      <c r="C47" s="61" t="s">
        <v>325</v>
      </c>
    </row>
    <row r="48" spans="3:3" x14ac:dyDescent="0.3">
      <c r="C48" s="61" t="s">
        <v>352</v>
      </c>
    </row>
    <row r="49" spans="3:3" x14ac:dyDescent="0.3">
      <c r="C49" s="61" t="s">
        <v>353</v>
      </c>
    </row>
    <row r="50" spans="3:3" x14ac:dyDescent="0.3">
      <c r="C50" s="61" t="s">
        <v>332</v>
      </c>
    </row>
    <row r="51" spans="3:3" x14ac:dyDescent="0.3">
      <c r="C51" s="61" t="s">
        <v>292</v>
      </c>
    </row>
    <row r="52" spans="3:3" x14ac:dyDescent="0.3">
      <c r="C52" s="61" t="s">
        <v>325</v>
      </c>
    </row>
    <row r="53" spans="3:3" x14ac:dyDescent="0.3">
      <c r="C53" s="61" t="s">
        <v>354</v>
      </c>
    </row>
    <row r="54" spans="3:3" x14ac:dyDescent="0.3">
      <c r="C54" s="61" t="s">
        <v>303</v>
      </c>
    </row>
    <row r="55" spans="3:3" x14ac:dyDescent="0.3">
      <c r="C55" s="61" t="s">
        <v>304</v>
      </c>
    </row>
    <row r="56" spans="3:3" x14ac:dyDescent="0.3">
      <c r="C56" s="61" t="s">
        <v>305</v>
      </c>
    </row>
    <row r="57" spans="3:3" x14ac:dyDescent="0.3">
      <c r="C57" s="61" t="s">
        <v>355</v>
      </c>
    </row>
    <row r="58" spans="3:3" x14ac:dyDescent="0.3">
      <c r="C58" s="61" t="s">
        <v>356</v>
      </c>
    </row>
    <row r="59" spans="3:3" x14ac:dyDescent="0.3">
      <c r="C59" s="61" t="s">
        <v>357</v>
      </c>
    </row>
    <row r="60" spans="3:3" x14ac:dyDescent="0.3">
      <c r="C60" s="61" t="s">
        <v>358</v>
      </c>
    </row>
    <row r="61" spans="3:3" x14ac:dyDescent="0.3">
      <c r="C61" s="61" t="s">
        <v>359</v>
      </c>
    </row>
    <row r="62" spans="3:3" x14ac:dyDescent="0.3">
      <c r="C62" s="61" t="s">
        <v>360</v>
      </c>
    </row>
    <row r="63" spans="3:3" x14ac:dyDescent="0.3">
      <c r="C63" s="61" t="s">
        <v>361</v>
      </c>
    </row>
    <row r="64" spans="3:3" x14ac:dyDescent="0.3">
      <c r="C64" s="61" t="s">
        <v>362</v>
      </c>
    </row>
    <row r="65" spans="1:3" x14ac:dyDescent="0.3">
      <c r="C65" s="61" t="s">
        <v>363</v>
      </c>
    </row>
    <row r="68" spans="1:3" ht="21" x14ac:dyDescent="0.4">
      <c r="A68" s="92" t="s">
        <v>365</v>
      </c>
    </row>
    <row r="70" spans="1:3" ht="18" x14ac:dyDescent="0.3">
      <c r="A70" s="93" t="s">
        <v>366</v>
      </c>
    </row>
    <row r="71" spans="1:3" x14ac:dyDescent="0.3">
      <c r="C71" s="94" t="s">
        <v>367</v>
      </c>
    </row>
    <row r="72" spans="1:3" x14ac:dyDescent="0.3">
      <c r="C72" s="94" t="s">
        <v>368</v>
      </c>
    </row>
    <row r="73" spans="1:3" x14ac:dyDescent="0.3">
      <c r="C73" s="94" t="s">
        <v>369</v>
      </c>
    </row>
    <row r="74" spans="1:3" x14ac:dyDescent="0.3">
      <c r="C74" s="94" t="s">
        <v>151</v>
      </c>
    </row>
    <row r="75" spans="1:3" x14ac:dyDescent="0.3">
      <c r="C75" s="94" t="s">
        <v>370</v>
      </c>
    </row>
    <row r="76" spans="1:3" x14ac:dyDescent="0.3">
      <c r="C76" s="94" t="s">
        <v>371</v>
      </c>
    </row>
    <row r="77" spans="1:3" x14ac:dyDescent="0.3">
      <c r="C77" s="94" t="s">
        <v>372</v>
      </c>
    </row>
    <row r="78" spans="1:3" x14ac:dyDescent="0.3">
      <c r="C78"/>
    </row>
    <row r="79" spans="1:3" ht="18" x14ac:dyDescent="0.3">
      <c r="A79" s="93" t="s">
        <v>373</v>
      </c>
    </row>
    <row r="80" spans="1:3" x14ac:dyDescent="0.3">
      <c r="C80" s="94" t="s">
        <v>374</v>
      </c>
    </row>
    <row r="81" spans="1:3" x14ac:dyDescent="0.3">
      <c r="C81" s="94" t="s">
        <v>375</v>
      </c>
    </row>
    <row r="82" spans="1:3" x14ac:dyDescent="0.3">
      <c r="C82" s="94" t="s">
        <v>376</v>
      </c>
    </row>
    <row r="83" spans="1:3" x14ac:dyDescent="0.3">
      <c r="C83" s="94" t="s">
        <v>377</v>
      </c>
    </row>
    <row r="84" spans="1:3" x14ac:dyDescent="0.3">
      <c r="C84"/>
    </row>
    <row r="85" spans="1:3" ht="18" x14ac:dyDescent="0.3">
      <c r="A85" s="93" t="s">
        <v>378</v>
      </c>
    </row>
    <row r="86" spans="1:3" x14ac:dyDescent="0.3">
      <c r="C86" s="94" t="s">
        <v>379</v>
      </c>
    </row>
    <row r="87" spans="1:3" x14ac:dyDescent="0.3">
      <c r="C87" s="94" t="s">
        <v>380</v>
      </c>
    </row>
    <row r="88" spans="1:3" x14ac:dyDescent="0.3">
      <c r="C88" s="94" t="s">
        <v>381</v>
      </c>
    </row>
    <row r="89" spans="1:3" x14ac:dyDescent="0.3">
      <c r="C89" s="94" t="s">
        <v>382</v>
      </c>
    </row>
    <row r="90" spans="1:3" x14ac:dyDescent="0.3">
      <c r="C90"/>
    </row>
    <row r="91" spans="1:3" ht="18" x14ac:dyDescent="0.3">
      <c r="A91" s="93" t="s">
        <v>383</v>
      </c>
    </row>
    <row r="92" spans="1:3" x14ac:dyDescent="0.3">
      <c r="C92" s="94" t="s">
        <v>384</v>
      </c>
    </row>
    <row r="93" spans="1:3" x14ac:dyDescent="0.3">
      <c r="C93" s="94" t="s">
        <v>385</v>
      </c>
    </row>
    <row r="94" spans="1:3" x14ac:dyDescent="0.3">
      <c r="C94" s="94" t="s">
        <v>386</v>
      </c>
    </row>
    <row r="95" spans="1:3" x14ac:dyDescent="0.3">
      <c r="C95" s="94" t="s">
        <v>387</v>
      </c>
    </row>
    <row r="96" spans="1:3" x14ac:dyDescent="0.3">
      <c r="C96" s="94" t="s">
        <v>388</v>
      </c>
    </row>
    <row r="97" spans="1:4" x14ac:dyDescent="0.3">
      <c r="C97"/>
    </row>
    <row r="98" spans="1:4" ht="18" x14ac:dyDescent="0.3">
      <c r="A98" s="93" t="s">
        <v>389</v>
      </c>
    </row>
    <row r="99" spans="1:4" x14ac:dyDescent="0.3">
      <c r="C99" s="94" t="s">
        <v>390</v>
      </c>
    </row>
    <row r="100" spans="1:4" x14ac:dyDescent="0.3">
      <c r="C100" s="94" t="s">
        <v>391</v>
      </c>
    </row>
    <row r="101" spans="1:4" x14ac:dyDescent="0.3">
      <c r="C101" s="94" t="s">
        <v>392</v>
      </c>
    </row>
    <row r="102" spans="1:4" x14ac:dyDescent="0.3">
      <c r="C102" s="94" t="s">
        <v>393</v>
      </c>
    </row>
    <row r="103" spans="1:4" x14ac:dyDescent="0.3">
      <c r="C103" s="94" t="s">
        <v>394</v>
      </c>
    </row>
    <row r="104" spans="1:4" x14ac:dyDescent="0.3">
      <c r="C104" s="94" t="s">
        <v>395</v>
      </c>
    </row>
    <row r="105" spans="1:4" x14ac:dyDescent="0.3">
      <c r="C105" s="94" t="s">
        <v>396</v>
      </c>
    </row>
    <row r="108" spans="1:4" s="61" customFormat="1" ht="18" x14ac:dyDescent="0.3">
      <c r="A108" s="136" t="s">
        <v>397</v>
      </c>
      <c r="B108" s="136"/>
      <c r="C108" s="136"/>
      <c r="D108" s="136"/>
    </row>
  </sheetData>
  <mergeCells count="1">
    <mergeCell ref="A108:D108"/>
  </mergeCells>
  <printOptions horizontalCentered="1" verticalCentered="1"/>
  <pageMargins left="0.7" right="0.7" top="0.75" bottom="0.75" header="0.3" footer="0.3"/>
  <pageSetup paperSize="9" scale="70" orientation="portrait" verticalDpi="0" r:id="rId1"/>
  <rowBreaks count="1" manualBreakCount="1">
    <brk id="66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in out reg gr</vt:lpstr>
      <vt:lpstr>veh log bk gr</vt:lpstr>
      <vt:lpstr>property list gr</vt:lpstr>
      <vt:lpstr>Consul Bill</vt:lpstr>
      <vt:lpstr>Fund Flow</vt:lpstr>
      <vt:lpstr>Tender gr</vt:lpstr>
      <vt:lpstr>TADA Bills</vt:lpstr>
      <vt:lpstr>pmt sch gr</vt:lpstr>
      <vt:lpstr>contractor gr</vt:lpstr>
      <vt:lpstr>wip gr</vt:lpstr>
      <vt:lpstr>H R gr</vt:lpstr>
      <vt:lpstr>To Do Task</vt:lpstr>
      <vt:lpstr>'Consul Bill'!Print_Area</vt:lpstr>
      <vt:lpstr>'contractor gr'!Print_Area</vt:lpstr>
      <vt:lpstr>'property list gr'!Print_Area</vt:lpstr>
      <vt:lpstr>'TADA Bills'!Print_Area</vt:lpstr>
      <vt:lpstr>'To Do Task'!Print_Area</vt:lpstr>
      <vt:lpstr>'wip gr'!Print_Area</vt:lpstr>
      <vt:lpstr>'Consul Bill'!Print_Titles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</dc:creator>
  <cp:lastModifiedBy>Ketan Makadia</cp:lastModifiedBy>
  <cp:lastPrinted>2026-06-27T07:27:52Z</cp:lastPrinted>
  <dcterms:created xsi:type="dcterms:W3CDTF">2021-08-07T11:17:41Z</dcterms:created>
  <dcterms:modified xsi:type="dcterms:W3CDTF">2026-06-27T07:29:11Z</dcterms:modified>
</cp:coreProperties>
</file>